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Registo semanal_abril e maio 20" sheetId="2" r:id="rId5"/>
    <sheet state="visible" name="Registo semanal_junho e julho 2" sheetId="3" r:id="rId6"/>
    <sheet state="visible" name="Registo semanal_agosto 2026" sheetId="4" r:id="rId7"/>
  </sheets>
  <definedNames/>
  <calcPr/>
  <extLst>
    <ext uri="GoogleSheetsCustomDataVersion2">
      <go:sheetsCustomData xmlns:go="http://customooxmlschemas.google.com/" r:id="rId8" roundtripDataChecksum="GC4aMHMxCvBGBtSGcYHR5HzWgnfXkzFHWpLsbsef3Vg="/>
    </ext>
  </extLst>
</workbook>
</file>

<file path=xl/sharedStrings.xml><?xml version="1.0" encoding="utf-8"?>
<sst xmlns="http://schemas.openxmlformats.org/spreadsheetml/2006/main" count="349" uniqueCount="168">
  <si>
    <t>Como usar esta tabela</t>
  </si>
  <si>
    <t>Passo</t>
  </si>
  <si>
    <t>Ação</t>
  </si>
  <si>
    <t>1</t>
  </si>
  <si>
    <t>Preenche o rendimento bruto semanal na coluna D.</t>
  </si>
  <si>
    <t>2</t>
  </si>
  <si>
    <t>As colunas E, F, G, H e I calculam automaticamente SS, IRS, poupança e disponível real.</t>
  </si>
  <si>
    <t>3</t>
  </si>
  <si>
    <t>Transfere semanalmente o total das reservas para uma conta separada.</t>
  </si>
  <si>
    <t>4</t>
  </si>
  <si>
    <t>Ajusta as percentagens na folha 'Registo semanal', células B4, B5 e B6.</t>
  </si>
  <si>
    <t>5</t>
  </si>
  <si>
    <t>Usa a coluna J para observações sobre padrões de consumo ou decisões financeiras.</t>
  </si>
  <si>
    <t>Nota técnica</t>
  </si>
  <si>
    <t>A reserva de SS usa uma regra simplificada de 15% do rendimento bruto para prestação de serviços, baseada em 70% de rendimento relevante × 21,4% de taxa contributiva. Deve ser validada conforme a situação individual.</t>
  </si>
  <si>
    <t>Fonte oficial</t>
  </si>
  <si>
    <t>https://www.seg-social.pt/trabalhadores-independentes</t>
  </si>
  <si>
    <t>Uso</t>
  </si>
  <si>
    <t>Ferramenta de planeamento; não substitui aconselhamento fiscal ou contabilístico.</t>
  </si>
  <si>
    <t>Plano semanal de gestão financeira — Recibos verdes</t>
  </si>
  <si>
    <t>Parâmetro</t>
  </si>
  <si>
    <t>Valor</t>
  </si>
  <si>
    <t>Reserva Segurança Social</t>
  </si>
  <si>
    <t>Reserva IRS</t>
  </si>
  <si>
    <t>Objetivo de poupança</t>
  </si>
  <si>
    <t>Observação</t>
  </si>
  <si>
    <t>Ajusta as percentagens conforme a tua situação fiscal.</t>
  </si>
  <si>
    <t>Mês</t>
  </si>
  <si>
    <t>Data início</t>
  </si>
  <si>
    <t>Rendimento bruto (€)</t>
  </si>
  <si>
    <t>Reserva SS (€)</t>
  </si>
  <si>
    <t>Reserva IRS (€)</t>
  </si>
  <si>
    <t>Poupança (€)</t>
  </si>
  <si>
    <t>Total reservas (€)</t>
  </si>
  <si>
    <t>Disponível real (€)</t>
  </si>
  <si>
    <t>Observações</t>
  </si>
  <si>
    <t>Abril</t>
  </si>
  <si>
    <t>pantaleão</t>
  </si>
  <si>
    <t>matilde simões</t>
  </si>
  <si>
    <t>erecupertejo</t>
  </si>
  <si>
    <t>sem recibo</t>
  </si>
  <si>
    <t>carolina figueiredo</t>
  </si>
  <si>
    <t>santiago</t>
  </si>
  <si>
    <t>rafael</t>
  </si>
  <si>
    <t>catarina</t>
  </si>
  <si>
    <t xml:space="preserve">matilde </t>
  </si>
  <si>
    <t>miguel</t>
  </si>
  <si>
    <t>carlota</t>
  </si>
  <si>
    <t>ze pedro</t>
  </si>
  <si>
    <t>beatriz</t>
  </si>
  <si>
    <t>dinis ferreira</t>
  </si>
  <si>
    <t>carolina carmo</t>
  </si>
  <si>
    <t>Total valores mensais</t>
  </si>
  <si>
    <t>Maio</t>
  </si>
  <si>
    <t>dinis sequeira</t>
  </si>
  <si>
    <t>maria do carmo</t>
  </si>
  <si>
    <t>maria Leonor Carlos</t>
  </si>
  <si>
    <t>albert</t>
  </si>
  <si>
    <t>alice mascote</t>
  </si>
  <si>
    <t>joão maria silva</t>
  </si>
  <si>
    <t>francisco sequeira</t>
  </si>
  <si>
    <t>bia calado</t>
  </si>
  <si>
    <t>maria inês fonseca</t>
  </si>
  <si>
    <t>recibo só 250€</t>
  </si>
  <si>
    <t>vicente inácio</t>
  </si>
  <si>
    <t>antónio calado</t>
  </si>
  <si>
    <t>santiago martins</t>
  </si>
  <si>
    <t>carolina costa figueiredo</t>
  </si>
  <si>
    <t>miguel crespo</t>
  </si>
  <si>
    <t>mariana mendes</t>
  </si>
  <si>
    <t>beatriz serafim</t>
  </si>
  <si>
    <t>dinis custódio</t>
  </si>
  <si>
    <t>catarina pareike</t>
  </si>
  <si>
    <t>daniel freitas</t>
  </si>
  <si>
    <t>josé pedro</t>
  </si>
  <si>
    <t>Santiago Martins</t>
  </si>
  <si>
    <t>célia vieira</t>
  </si>
  <si>
    <t>beatriz mota</t>
  </si>
  <si>
    <t>sofia cariano</t>
  </si>
  <si>
    <t>Mi</t>
  </si>
  <si>
    <t>vitória</t>
  </si>
  <si>
    <t>marta lopes</t>
  </si>
  <si>
    <t>afonso pantaleão</t>
  </si>
  <si>
    <t>tania sanches</t>
  </si>
  <si>
    <t>DATA</t>
  </si>
  <si>
    <t>Total consultas</t>
  </si>
  <si>
    <t>CPD 30%</t>
  </si>
  <si>
    <t>TOTAL FINAL PARA RECIBO</t>
  </si>
  <si>
    <t>RETENÇÃO 23%</t>
  </si>
  <si>
    <t>TOTAL A RECEBER</t>
  </si>
  <si>
    <t>SS - 15%</t>
  </si>
  <si>
    <t>poupança 10%</t>
  </si>
  <si>
    <t>Disponivel real</t>
  </si>
  <si>
    <t>CPD ABRIL</t>
  </si>
  <si>
    <t>IRS</t>
  </si>
  <si>
    <t>Resumo</t>
  </si>
  <si>
    <t>Total rendimento bruto</t>
  </si>
  <si>
    <t>Total SS reservada</t>
  </si>
  <si>
    <t>Total IRS reservado</t>
  </si>
  <si>
    <t>Total poupança</t>
  </si>
  <si>
    <t>Total disponível real</t>
  </si>
  <si>
    <t>Taxa média de reserva</t>
  </si>
  <si>
    <t>Estimativa custo fixo</t>
  </si>
  <si>
    <t>maria coelho</t>
  </si>
  <si>
    <t>povoa santa iria</t>
  </si>
  <si>
    <t>Azambuja</t>
  </si>
  <si>
    <t>rita malhadinhas</t>
  </si>
  <si>
    <t>Santa Iria</t>
  </si>
  <si>
    <t>paloma</t>
  </si>
  <si>
    <t>Alice Mascote</t>
  </si>
  <si>
    <t>inês araújo</t>
  </si>
  <si>
    <t>camila alves</t>
  </si>
  <si>
    <t>Salvador Isidoro</t>
  </si>
  <si>
    <t>Leonor Carlos</t>
  </si>
  <si>
    <t>nuno pires</t>
  </si>
  <si>
    <t>azambuja</t>
  </si>
  <si>
    <t>Vicente Inácio</t>
  </si>
  <si>
    <t>diogo lopes</t>
  </si>
  <si>
    <t>leonor santos</t>
  </si>
  <si>
    <t>sofia pires</t>
  </si>
  <si>
    <t>vasco marmeleiro</t>
  </si>
  <si>
    <t>francisco raimundo</t>
  </si>
  <si>
    <t>ana filipa leitão</t>
  </si>
  <si>
    <t>emma rocha</t>
  </si>
  <si>
    <t>emma rojão</t>
  </si>
  <si>
    <t>workshops</t>
  </si>
  <si>
    <t>João e Martim</t>
  </si>
  <si>
    <t>Diogo Lopes</t>
  </si>
  <si>
    <t>Catarina Ferreira</t>
  </si>
  <si>
    <t>Julho</t>
  </si>
  <si>
    <t>filipa mota</t>
  </si>
  <si>
    <t>mariana antónio</t>
  </si>
  <si>
    <t>martim ramos</t>
  </si>
  <si>
    <t>beatriz constança</t>
  </si>
  <si>
    <t>duarte ricardo - workshop</t>
  </si>
  <si>
    <t>matilde machão</t>
  </si>
  <si>
    <t>kaila</t>
  </si>
  <si>
    <t>beatriz - filha da paula</t>
  </si>
  <si>
    <t>beatriz filha carla</t>
  </si>
  <si>
    <t>joao silva</t>
  </si>
  <si>
    <t>angela</t>
  </si>
  <si>
    <t>salvador isidoro</t>
  </si>
  <si>
    <t>francisco dorea</t>
  </si>
  <si>
    <t>tomas freixial</t>
  </si>
  <si>
    <t>gonçalo ffreixial</t>
  </si>
  <si>
    <t>Paloma</t>
  </si>
  <si>
    <t>Leonor Santos</t>
  </si>
  <si>
    <t>Matilde Simões</t>
  </si>
  <si>
    <t>agosto</t>
  </si>
  <si>
    <t>mateus pereira</t>
  </si>
  <si>
    <t>miguel crepo</t>
  </si>
  <si>
    <t>maria leonor carlos</t>
  </si>
  <si>
    <t>francisco antunes</t>
  </si>
  <si>
    <t>Maria Inês Gaspar</t>
  </si>
  <si>
    <t>isabel mouta</t>
  </si>
  <si>
    <t>Mariana Mendes</t>
  </si>
  <si>
    <t>Afonso Pantalião</t>
  </si>
  <si>
    <t>Maria do Carmo</t>
  </si>
  <si>
    <t>Bia Calado</t>
  </si>
  <si>
    <t>henrique nunes</t>
  </si>
  <si>
    <t>junho</t>
  </si>
  <si>
    <t>maria vitória venâncio</t>
  </si>
  <si>
    <t>júlia borges</t>
  </si>
  <si>
    <t>Laura Paz</t>
  </si>
  <si>
    <t>kaila correia</t>
  </si>
  <si>
    <t>setembro</t>
  </si>
  <si>
    <t>Falta enviar para CA SS - 60€</t>
  </si>
  <si>
    <t>Falta enviar CA ordenado - 200€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</si>
</sst>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€#,##0.00"/>
    <numFmt numFmtId="165" formatCode="_-* #,##0.00\ [$€-816]_-;\-* #,##0.00\ [$€-816]_-;_-* &quot;-&quot;??\ [$€-816]_-;_-@"/>
  </numFmts>
  <fonts count="8">
    <font>
      <sz val="11.0"/>
      <color rgb="FF000000"/>
      <name val="Carlito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AF3F8"/>
        <bgColor rgb="FFEAF3F8"/>
      </patternFill>
    </fill>
    <fill>
      <patternFill patternType="solid">
        <fgColor rgb="FFDDEFE4"/>
        <bgColor rgb="FFDDEFE4"/>
      </patternFill>
    </fill>
    <fill>
      <patternFill patternType="solid">
        <fgColor rgb="FFFFF8E6"/>
        <bgColor rgb="FFFFF8E6"/>
      </patternFill>
    </fill>
    <fill>
      <patternFill patternType="solid">
        <fgColor rgb="FFD9EAF7"/>
        <bgColor rgb="FFD9EAF7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FAE2D5"/>
        <bgColor rgb="FFFAE2D5"/>
      </patternFill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F6F8FA"/>
        <bgColor rgb="FFF6F8FA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0" fillId="0" fontId="3" numFmtId="0" xfId="0" applyAlignment="1" applyFont="1">
      <alignment shrinkToFit="0" wrapText="1"/>
    </xf>
    <xf borderId="4" fillId="4" fontId="5" numFmtId="0" xfId="0" applyBorder="1" applyFill="1" applyFont="1"/>
    <xf borderId="4" fillId="4" fontId="6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/>
    </xf>
    <xf borderId="4" fillId="5" fontId="4" numFmtId="0" xfId="0" applyBorder="1" applyFill="1" applyFont="1"/>
    <xf borderId="0" fillId="0" fontId="3" numFmtId="9" xfId="0" applyFont="1" applyNumberFormat="1"/>
    <xf borderId="0" fillId="0" fontId="3" numFmtId="0" xfId="0" applyAlignment="1" applyFont="1">
      <alignment horizontal="center" shrinkToFit="0" wrapText="1"/>
    </xf>
    <xf borderId="5" fillId="3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3" numFmtId="0" xfId="0" applyAlignment="1" applyBorder="1" applyFont="1">
      <alignment horizontal="center" vertical="center"/>
    </xf>
    <xf borderId="5" fillId="0" fontId="3" numFmtId="14" xfId="0" applyAlignment="1" applyBorder="1" applyFont="1" applyNumberFormat="1">
      <alignment horizontal="center"/>
    </xf>
    <xf borderId="5" fillId="6" fontId="3" numFmtId="164" xfId="0" applyAlignment="1" applyBorder="1" applyFill="1" applyFont="1" applyNumberFormat="1">
      <alignment horizontal="right"/>
    </xf>
    <xf borderId="5" fillId="6" fontId="3" numFmtId="0" xfId="0" applyAlignment="1" applyBorder="1" applyFont="1">
      <alignment horizontal="left" shrinkToFit="0" wrapText="1"/>
    </xf>
    <xf borderId="9" fillId="0" fontId="2" numFmtId="0" xfId="0" applyBorder="1" applyFont="1"/>
    <xf borderId="5" fillId="7" fontId="3" numFmtId="164" xfId="0" applyAlignment="1" applyBorder="1" applyFill="1" applyFont="1" applyNumberFormat="1">
      <alignment horizontal="right"/>
    </xf>
    <xf borderId="5" fillId="8" fontId="3" numFmtId="164" xfId="0" applyAlignment="1" applyBorder="1" applyFill="1" applyFont="1" applyNumberFormat="1">
      <alignment horizontal="right"/>
    </xf>
    <xf borderId="5" fillId="0" fontId="3" numFmtId="164" xfId="0" applyAlignment="1" applyBorder="1" applyFont="1" applyNumberFormat="1">
      <alignment horizontal="right"/>
    </xf>
    <xf borderId="5" fillId="0" fontId="3" numFmtId="0" xfId="0" applyAlignment="1" applyBorder="1" applyFont="1">
      <alignment horizontal="right" shrinkToFit="0" wrapText="1"/>
    </xf>
    <xf borderId="5" fillId="0" fontId="6" numFmtId="0" xfId="0" applyBorder="1" applyFont="1"/>
    <xf borderId="5" fillId="9" fontId="3" numFmtId="0" xfId="0" applyAlignment="1" applyBorder="1" applyFill="1" applyFont="1">
      <alignment horizontal="right" shrinkToFit="0" wrapText="1"/>
    </xf>
    <xf borderId="10" fillId="0" fontId="2" numFmtId="0" xfId="0" applyBorder="1" applyFont="1"/>
    <xf borderId="6" fillId="10" fontId="3" numFmtId="0" xfId="0" applyAlignment="1" applyBorder="1" applyFill="1" applyFont="1">
      <alignment horizontal="right" vertical="center"/>
    </xf>
    <xf borderId="5" fillId="10" fontId="3" numFmtId="164" xfId="0" applyAlignment="1" applyBorder="1" applyFont="1" applyNumberFormat="1">
      <alignment horizontal="right"/>
    </xf>
    <xf borderId="5" fillId="1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11" fontId="3" numFmtId="164" xfId="0" applyAlignment="1" applyBorder="1" applyFill="1" applyFont="1" applyNumberFormat="1">
      <alignment horizontal="right"/>
    </xf>
    <xf borderId="5" fillId="0" fontId="3" numFmtId="0" xfId="0" applyAlignment="1" applyBorder="1" applyFont="1">
      <alignment horizontal="right" shrinkToFit="0" vertical="center" wrapText="1"/>
    </xf>
    <xf borderId="5" fillId="11" fontId="3" numFmtId="164" xfId="0" applyAlignment="1" applyBorder="1" applyFont="1" applyNumberFormat="1">
      <alignment horizontal="right" readingOrder="0"/>
    </xf>
    <xf borderId="5" fillId="0" fontId="3" numFmtId="0" xfId="0" applyAlignment="1" applyBorder="1" applyFont="1">
      <alignment horizontal="right" readingOrder="0" shrinkToFit="0" wrapText="1"/>
    </xf>
    <xf borderId="5" fillId="0" fontId="3" numFmtId="1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right" readingOrder="0" shrinkToFit="0" wrapText="1"/>
    </xf>
    <xf borderId="8" fillId="0" fontId="3" numFmtId="0" xfId="0" applyAlignment="1" applyBorder="1" applyFont="1">
      <alignment vertical="center"/>
    </xf>
    <xf borderId="6" fillId="0" fontId="3" numFmtId="164" xfId="0" applyAlignment="1" applyBorder="1" applyFont="1" applyNumberFormat="1">
      <alignment horizontal="right"/>
    </xf>
    <xf borderId="11" fillId="0" fontId="3" numFmtId="0" xfId="0" applyAlignment="1" applyBorder="1" applyFont="1">
      <alignment horizontal="right" readingOrder="0" shrinkToFit="0" wrapText="1"/>
    </xf>
    <xf borderId="11" fillId="0" fontId="3" numFmtId="0" xfId="0" applyAlignment="1" applyBorder="1" applyFont="1">
      <alignment vertical="center"/>
    </xf>
    <xf borderId="11" fillId="0" fontId="3" numFmtId="0" xfId="0" applyAlignment="1" applyBorder="1" applyFont="1">
      <alignment horizontal="right" readingOrder="0"/>
    </xf>
    <xf borderId="11" fillId="0" fontId="7" numFmtId="0" xfId="0" applyBorder="1" applyFont="1"/>
    <xf borderId="12" fillId="0" fontId="3" numFmtId="0" xfId="0" applyAlignment="1" applyBorder="1" applyFont="1">
      <alignment horizontal="right" readingOrder="0"/>
    </xf>
    <xf borderId="11" fillId="12" fontId="3" numFmtId="0" xfId="0" applyAlignment="1" applyBorder="1" applyFill="1" applyFont="1">
      <alignment horizontal="right" readingOrder="0" vertical="center"/>
    </xf>
    <xf borderId="13" fillId="0" fontId="7" numFmtId="0" xfId="0" applyBorder="1" applyFont="1"/>
    <xf borderId="12" fillId="12" fontId="3" numFmtId="0" xfId="0" applyAlignment="1" applyBorder="1" applyFont="1">
      <alignment horizontal="right" readingOrder="0" vertical="center"/>
    </xf>
    <xf borderId="5" fillId="13" fontId="3" numFmtId="164" xfId="0" applyAlignment="1" applyBorder="1" applyFill="1" applyFont="1" applyNumberFormat="1">
      <alignment horizontal="right"/>
    </xf>
    <xf borderId="11" fillId="7" fontId="3" numFmtId="0" xfId="0" applyAlignment="1" applyBorder="1" applyFont="1">
      <alignment horizontal="right" readingOrder="0" vertical="center"/>
    </xf>
    <xf borderId="13" fillId="7" fontId="7" numFmtId="0" xfId="0" applyAlignment="1" applyBorder="1" applyFont="1">
      <alignment readingOrder="0"/>
    </xf>
    <xf borderId="5" fillId="14" fontId="3" numFmtId="164" xfId="0" applyAlignment="1" applyBorder="1" applyFill="1" applyFont="1" applyNumberFormat="1">
      <alignment horizontal="right"/>
    </xf>
    <xf borderId="5" fillId="15" fontId="3" numFmtId="164" xfId="0" applyAlignment="1" applyBorder="1" applyFill="1" applyFont="1" applyNumberFormat="1">
      <alignment horizontal="right" readingOrder="0"/>
    </xf>
    <xf borderId="10" fillId="1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right" readingOrder="0"/>
    </xf>
    <xf borderId="11" fillId="0" fontId="3" numFmtId="0" xfId="0" applyBorder="1" applyFont="1"/>
    <xf borderId="10" fillId="0" fontId="3" numFmtId="0" xfId="0" applyAlignment="1" applyBorder="1" applyFont="1">
      <alignment horizontal="center" vertical="center"/>
    </xf>
    <xf borderId="5" fillId="16" fontId="3" numFmtId="0" xfId="0" applyBorder="1" applyFill="1" applyFont="1"/>
    <xf borderId="5" fillId="16" fontId="3" numFmtId="14" xfId="0" applyAlignment="1" applyBorder="1" applyFont="1" applyNumberFormat="1">
      <alignment horizontal="center" vertical="center"/>
    </xf>
    <xf borderId="5" fillId="16" fontId="3" numFmtId="0" xfId="0" applyAlignment="1" applyBorder="1" applyFont="1">
      <alignment horizontal="center" vertical="center"/>
    </xf>
    <xf borderId="6" fillId="16" fontId="3" numFmtId="0" xfId="0" applyAlignment="1" applyBorder="1" applyFont="1">
      <alignment horizontal="center" vertical="center"/>
    </xf>
    <xf borderId="11" fillId="16" fontId="3" numFmtId="0" xfId="0" applyAlignment="1" applyBorder="1" applyFont="1">
      <alignment horizontal="center" vertical="center"/>
    </xf>
    <xf borderId="5" fillId="16" fontId="3" numFmtId="14" xfId="0" applyAlignment="1" applyBorder="1" applyFont="1" applyNumberFormat="1">
      <alignment horizontal="center"/>
    </xf>
    <xf borderId="5" fillId="16" fontId="3" numFmtId="165" xfId="0" applyBorder="1" applyFont="1" applyNumberFormat="1"/>
    <xf borderId="5" fillId="16" fontId="3" numFmtId="165" xfId="0" applyAlignment="1" applyBorder="1" applyFont="1" applyNumberFormat="1">
      <alignment horizontal="center" vertical="center"/>
    </xf>
    <xf borderId="10" fillId="16" fontId="3" numFmtId="165" xfId="0" applyAlignment="1" applyBorder="1" applyFont="1" applyNumberFormat="1">
      <alignment horizontal="center" vertical="center"/>
    </xf>
    <xf borderId="10" fillId="16" fontId="6" numFmtId="165" xfId="0" applyAlignment="1" applyBorder="1" applyFont="1" applyNumberFormat="1">
      <alignment vertical="center"/>
    </xf>
    <xf borderId="0" fillId="0" fontId="3" numFmtId="14" xfId="0" applyAlignment="1" applyFont="1" applyNumberFormat="1">
      <alignment horizontal="center"/>
    </xf>
    <xf borderId="0" fillId="0" fontId="3" numFmtId="165" xfId="0" applyFont="1" applyNumberFormat="1"/>
    <xf borderId="0" fillId="0" fontId="3" numFmtId="0" xfId="0" applyAlignment="1" applyFont="1">
      <alignment horizontal="center" vertical="center"/>
    </xf>
    <xf borderId="0" fillId="17" fontId="4" numFmtId="0" xfId="0" applyFill="1" applyFont="1"/>
    <xf borderId="0" fillId="18" fontId="3" numFmtId="0" xfId="0" applyFill="1" applyFont="1"/>
    <xf borderId="0" fillId="19" fontId="3" numFmtId="164" xfId="0" applyFill="1" applyFont="1" applyNumberFormat="1"/>
    <xf borderId="0" fillId="20" fontId="3" numFmtId="164" xfId="0" applyFill="1" applyFont="1" applyNumberFormat="1"/>
    <xf borderId="0" fillId="21" fontId="3" numFmtId="164" xfId="0" applyFill="1" applyFont="1" applyNumberFormat="1"/>
    <xf borderId="0" fillId="6" fontId="3" numFmtId="9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5" fillId="0" fontId="3" numFmtId="14" xfId="0" applyAlignment="1" applyBorder="1" applyFont="1" applyNumberFormat="1">
      <alignment horizontal="center" vertical="bottom"/>
    </xf>
    <xf borderId="5" fillId="11" fontId="3" numFmtId="164" xfId="0" applyAlignment="1" applyBorder="1" applyFont="1" applyNumberFormat="1">
      <alignment horizontal="right" readingOrder="0" vertical="bottom"/>
    </xf>
    <xf borderId="5" fillId="8" fontId="3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3" numFmtId="0" xfId="0" applyBorder="1" applyFont="1"/>
    <xf borderId="0" fillId="0" fontId="6" numFmtId="0" xfId="0" applyAlignment="1" applyFont="1">
      <alignment vertical="bottom"/>
    </xf>
    <xf borderId="9" fillId="0" fontId="3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readingOrder="0"/>
    </xf>
    <xf borderId="5" fillId="0" fontId="3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right" readingOrder="0" vertical="center"/>
    </xf>
    <xf borderId="5" fillId="22" fontId="3" numFmtId="164" xfId="0" applyAlignment="1" applyBorder="1" applyFill="1" applyFont="1" applyNumberFormat="1">
      <alignment horizontal="right"/>
    </xf>
    <xf borderId="5" fillId="15" fontId="3" numFmtId="164" xfId="0" applyAlignment="1" applyBorder="1" applyFont="1" applyNumberFormat="1">
      <alignment horizontal="right"/>
    </xf>
    <xf borderId="8" fillId="0" fontId="3" numFmtId="0" xfId="0" applyAlignment="1" applyBorder="1" applyFont="1">
      <alignment horizontal="center" readingOrder="0" vertical="center"/>
    </xf>
    <xf borderId="5" fillId="12" fontId="3" numFmtId="164" xfId="0" applyAlignment="1" applyBorder="1" applyFont="1" applyNumberFormat="1">
      <alignment horizontal="right"/>
    </xf>
    <xf borderId="11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1" fillId="0" fontId="7" numFmtId="0" xfId="0" applyAlignment="1" applyBorder="1" applyFont="1">
      <alignment horizontal="right" readingOrder="0"/>
    </xf>
    <xf borderId="5" fillId="0" fontId="3" numFmtId="0" xfId="0" applyAlignment="1" applyBorder="1" applyFont="1">
      <alignment horizontal="center" readingOrder="0" vertical="center"/>
    </xf>
    <xf borderId="5" fillId="12" fontId="3" numFmtId="164" xfId="0" applyAlignment="1" applyBorder="1" applyFont="1" applyNumberFormat="1">
      <alignment horizontal="right" readingOrder="0"/>
    </xf>
    <xf borderId="5" fillId="12" fontId="3" numFmtId="0" xfId="0" applyBorder="1" applyFont="1"/>
    <xf borderId="5" fillId="12" fontId="3" numFmtId="14" xfId="0" applyAlignment="1" applyBorder="1" applyFont="1" applyNumberFormat="1">
      <alignment horizontal="center" vertical="center"/>
    </xf>
    <xf borderId="5" fillId="12" fontId="3" numFmtId="0" xfId="0" applyAlignment="1" applyBorder="1" applyFont="1">
      <alignment horizontal="center" vertical="center"/>
    </xf>
    <xf borderId="6" fillId="12" fontId="3" numFmtId="0" xfId="0" applyAlignment="1" applyBorder="1" applyFont="1">
      <alignment horizontal="center" vertical="center"/>
    </xf>
    <xf borderId="11" fillId="12" fontId="3" numFmtId="0" xfId="0" applyAlignment="1" applyBorder="1" applyFont="1">
      <alignment horizontal="center" vertical="center"/>
    </xf>
    <xf borderId="5" fillId="12" fontId="3" numFmtId="0" xfId="0" applyAlignment="1" applyBorder="1" applyFont="1">
      <alignment readingOrder="0"/>
    </xf>
    <xf borderId="5" fillId="12" fontId="3" numFmtId="14" xfId="0" applyAlignment="1" applyBorder="1" applyFont="1" applyNumberFormat="1">
      <alignment horizontal="center"/>
    </xf>
    <xf borderId="5" fillId="12" fontId="3" numFmtId="165" xfId="0" applyAlignment="1" applyBorder="1" applyFont="1" applyNumberFormat="1">
      <alignment readingOrder="0"/>
    </xf>
    <xf borderId="5" fillId="12" fontId="3" numFmtId="165" xfId="0" applyBorder="1" applyFont="1" applyNumberFormat="1"/>
    <xf borderId="5" fillId="12" fontId="3" numFmtId="165" xfId="0" applyAlignment="1" applyBorder="1" applyFont="1" applyNumberFormat="1">
      <alignment horizontal="center" vertical="center"/>
    </xf>
    <xf borderId="10" fillId="12" fontId="3" numFmtId="165" xfId="0" applyAlignment="1" applyBorder="1" applyFont="1" applyNumberFormat="1">
      <alignment horizontal="center" vertical="center"/>
    </xf>
    <xf borderId="10" fillId="12" fontId="6" numFmtId="165" xfId="0" applyAlignment="1" applyBorder="1" applyFont="1" applyNumberFormat="1">
      <alignment vertical="center"/>
    </xf>
    <xf borderId="14" fillId="0" fontId="7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/>
    </xf>
    <xf borderId="14" fillId="0" fontId="2" numFmtId="0" xfId="0" applyBorder="1" applyFont="1"/>
    <xf borderId="5" fillId="12" fontId="3" numFmtId="164" xfId="0" applyAlignment="1" applyBorder="1" applyFont="1" applyNumberFormat="1">
      <alignment horizontal="right" vertical="bottom"/>
    </xf>
    <xf borderId="0" fillId="7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5.0"/>
    <col customWidth="1" min="3" max="26" width="8.63"/>
  </cols>
  <sheetData>
    <row r="1" ht="13.5" customHeight="1">
      <c r="A1" s="1" t="s">
        <v>0</v>
      </c>
      <c r="B1" s="2"/>
      <c r="C1" s="2"/>
      <c r="D1" s="2"/>
      <c r="E1" s="3"/>
    </row>
    <row r="2" ht="13.5" customHeight="1">
      <c r="A2" s="4"/>
      <c r="B2" s="4"/>
    </row>
    <row r="3" ht="13.5" customHeight="1">
      <c r="A3" s="5" t="s">
        <v>1</v>
      </c>
      <c r="B3" s="5" t="s">
        <v>2</v>
      </c>
    </row>
    <row r="4" ht="24.0" customHeight="1">
      <c r="A4" s="4" t="s">
        <v>3</v>
      </c>
      <c r="B4" s="6" t="s">
        <v>4</v>
      </c>
    </row>
    <row r="5" ht="24.0" customHeight="1">
      <c r="A5" s="4" t="s">
        <v>5</v>
      </c>
      <c r="B5" s="6" t="s">
        <v>6</v>
      </c>
    </row>
    <row r="6" ht="24.0" customHeight="1">
      <c r="A6" s="4" t="s">
        <v>7</v>
      </c>
      <c r="B6" s="6" t="s">
        <v>8</v>
      </c>
    </row>
    <row r="7" ht="24.0" customHeight="1">
      <c r="A7" s="4" t="s">
        <v>9</v>
      </c>
      <c r="B7" s="6" t="s">
        <v>10</v>
      </c>
    </row>
    <row r="8" ht="24.0" customHeight="1">
      <c r="A8" s="4" t="s">
        <v>11</v>
      </c>
      <c r="B8" s="6" t="s">
        <v>12</v>
      </c>
    </row>
    <row r="9" ht="13.5" customHeight="1"/>
    <row r="10" ht="13.5" customHeight="1">
      <c r="A10" s="7" t="s">
        <v>13</v>
      </c>
      <c r="B10" s="8" t="s">
        <v>14</v>
      </c>
    </row>
    <row r="11" ht="13.5" customHeight="1">
      <c r="A11" s="7" t="s">
        <v>15</v>
      </c>
      <c r="B11" s="8" t="s">
        <v>16</v>
      </c>
    </row>
    <row r="12" ht="13.5" customHeight="1">
      <c r="A12" s="7" t="s">
        <v>17</v>
      </c>
      <c r="B12" s="8" t="s">
        <v>18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3.0"/>
    <col customWidth="1" min="3" max="3" width="18.0"/>
    <col customWidth="1" min="4" max="4" width="16.0"/>
    <col customWidth="1" min="5" max="5" width="21.75"/>
    <col customWidth="1" min="6" max="6" width="14.0"/>
    <col customWidth="1" min="7" max="7" width="17.0"/>
    <col customWidth="1" min="8" max="8" width="18.0"/>
    <col customWidth="1" min="9" max="9" width="32.0"/>
    <col customWidth="1" min="10" max="10" width="17.0"/>
    <col customWidth="1" min="11" max="26" width="8.63"/>
  </cols>
  <sheetData>
    <row r="1" ht="13.5" customHeight="1">
      <c r="A1" s="9" t="s">
        <v>19</v>
      </c>
      <c r="B1" s="2"/>
      <c r="C1" s="2"/>
      <c r="D1" s="3"/>
      <c r="E1" s="4"/>
      <c r="F1" s="4"/>
      <c r="G1" s="4"/>
      <c r="H1" s="4"/>
      <c r="I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</row>
    <row r="3" ht="13.5" customHeight="1">
      <c r="A3" s="10" t="s">
        <v>20</v>
      </c>
      <c r="B3" s="10" t="s">
        <v>21</v>
      </c>
      <c r="C3" s="4"/>
      <c r="D3" s="4"/>
      <c r="E3" s="4"/>
      <c r="F3" s="4"/>
      <c r="G3" s="4"/>
      <c r="H3" s="4"/>
      <c r="I3" s="4"/>
    </row>
    <row r="4" ht="13.5" customHeight="1">
      <c r="A4" s="4" t="s">
        <v>22</v>
      </c>
      <c r="B4" s="11">
        <v>0.15</v>
      </c>
      <c r="C4" s="4"/>
      <c r="D4" s="4"/>
      <c r="E4" s="4"/>
      <c r="F4" s="4"/>
      <c r="G4" s="4"/>
      <c r="H4" s="4"/>
      <c r="I4" s="4"/>
    </row>
    <row r="5" ht="13.5" customHeight="1">
      <c r="A5" s="4" t="s">
        <v>23</v>
      </c>
      <c r="B5" s="11">
        <v>0.2</v>
      </c>
      <c r="C5" s="4"/>
      <c r="D5" s="4"/>
      <c r="E5" s="4"/>
      <c r="F5" s="4"/>
      <c r="G5" s="4"/>
      <c r="H5" s="4"/>
      <c r="I5" s="4"/>
    </row>
    <row r="6" ht="13.5" customHeight="1">
      <c r="A6" s="4" t="s">
        <v>24</v>
      </c>
      <c r="B6" s="11">
        <v>0.1</v>
      </c>
      <c r="C6" s="4"/>
      <c r="D6" s="4"/>
      <c r="E6" s="4"/>
      <c r="F6" s="4"/>
      <c r="G6" s="4"/>
      <c r="H6" s="4"/>
      <c r="I6" s="4"/>
    </row>
    <row r="7" ht="57.0" customHeight="1">
      <c r="A7" s="6" t="s">
        <v>25</v>
      </c>
      <c r="B7" s="12" t="s">
        <v>26</v>
      </c>
      <c r="D7" s="4"/>
      <c r="E7" s="4"/>
      <c r="F7" s="4"/>
      <c r="G7" s="4"/>
      <c r="H7" s="4"/>
      <c r="I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</row>
    <row r="9" ht="27.0" customHeight="1">
      <c r="A9" s="13" t="s">
        <v>27</v>
      </c>
      <c r="B9" s="13" t="s">
        <v>28</v>
      </c>
      <c r="C9" s="13" t="s">
        <v>29</v>
      </c>
      <c r="D9" s="13" t="s">
        <v>30</v>
      </c>
      <c r="E9" s="13" t="s">
        <v>31</v>
      </c>
      <c r="F9" s="13" t="s">
        <v>32</v>
      </c>
      <c r="G9" s="13" t="s">
        <v>33</v>
      </c>
      <c r="H9" s="13" t="s">
        <v>34</v>
      </c>
      <c r="I9" s="14" t="s">
        <v>35</v>
      </c>
      <c r="J9" s="15"/>
    </row>
    <row r="10" ht="17.25" customHeight="1">
      <c r="A10" s="16" t="s">
        <v>36</v>
      </c>
      <c r="B10" s="17">
        <v>46113.0</v>
      </c>
      <c r="C10" s="18"/>
      <c r="D10" s="18"/>
      <c r="E10" s="18"/>
      <c r="F10" s="18"/>
      <c r="G10" s="18"/>
      <c r="H10" s="18"/>
      <c r="I10" s="19"/>
      <c r="J10" s="19"/>
    </row>
    <row r="11" ht="16.5" customHeight="1">
      <c r="A11" s="20"/>
      <c r="B11" s="17">
        <v>46114.0</v>
      </c>
      <c r="C11" s="18"/>
      <c r="D11" s="18"/>
      <c r="E11" s="18"/>
      <c r="F11" s="18"/>
      <c r="G11" s="18"/>
      <c r="H11" s="18"/>
      <c r="I11" s="19"/>
      <c r="J11" s="19"/>
    </row>
    <row r="12" ht="16.5" customHeight="1">
      <c r="A12" s="20"/>
      <c r="B12" s="17">
        <v>46115.0</v>
      </c>
      <c r="C12" s="21">
        <v>80.0</v>
      </c>
      <c r="D12" s="22">
        <f t="shared" ref="D12:D13" si="1">IF(C12="","",C12*$B$4)</f>
        <v>12</v>
      </c>
      <c r="E12" s="22">
        <f t="shared" ref="E12:E13" si="2">IF(C12="","",C12*$B$5)</f>
        <v>16</v>
      </c>
      <c r="F12" s="23">
        <f t="shared" ref="F12:F13" si="3">IF(C12="","",C12*$B$6)</f>
        <v>8</v>
      </c>
      <c r="G12" s="23">
        <f t="shared" ref="G12:G13" si="4">IF(C12="","",SUM(D12:F12))</f>
        <v>36</v>
      </c>
      <c r="H12" s="23">
        <f t="shared" ref="H12:H26" si="5">IF(C12="","",C12-G12)</f>
        <v>44</v>
      </c>
      <c r="I12" s="24" t="s">
        <v>37</v>
      </c>
      <c r="J12" s="25"/>
    </row>
    <row r="13" ht="16.5" customHeight="1">
      <c r="A13" s="20"/>
      <c r="B13" s="17">
        <v>46120.0</v>
      </c>
      <c r="C13" s="21">
        <v>40.0</v>
      </c>
      <c r="D13" s="22">
        <f t="shared" si="1"/>
        <v>6</v>
      </c>
      <c r="E13" s="22">
        <f t="shared" si="2"/>
        <v>8</v>
      </c>
      <c r="F13" s="23">
        <f t="shared" si="3"/>
        <v>4</v>
      </c>
      <c r="G13" s="23">
        <f t="shared" si="4"/>
        <v>18</v>
      </c>
      <c r="H13" s="23">
        <f t="shared" si="5"/>
        <v>22</v>
      </c>
      <c r="I13" s="24" t="s">
        <v>38</v>
      </c>
      <c r="J13" s="25"/>
    </row>
    <row r="14" ht="16.5" customHeight="1">
      <c r="A14" s="20"/>
      <c r="B14" s="17">
        <v>46120.0</v>
      </c>
      <c r="C14" s="21">
        <v>63.0</v>
      </c>
      <c r="D14" s="22">
        <v>0.0</v>
      </c>
      <c r="E14" s="22">
        <v>0.0</v>
      </c>
      <c r="F14" s="23">
        <v>0.0</v>
      </c>
      <c r="G14" s="23">
        <v>0.0</v>
      </c>
      <c r="H14" s="23">
        <f t="shared" si="5"/>
        <v>63</v>
      </c>
      <c r="I14" s="24" t="s">
        <v>39</v>
      </c>
      <c r="J14" s="26" t="s">
        <v>40</v>
      </c>
    </row>
    <row r="15" ht="16.5" customHeight="1">
      <c r="A15" s="20"/>
      <c r="B15" s="17">
        <v>46120.0</v>
      </c>
      <c r="C15" s="21">
        <v>190.0</v>
      </c>
      <c r="D15" s="22">
        <f t="shared" ref="D15:D21" si="6">IF(C15="","",C15*$B$4)</f>
        <v>28.5</v>
      </c>
      <c r="E15" s="22">
        <f t="shared" ref="E15:E21" si="7">IF(C15="","",C15*$B$5)</f>
        <v>38</v>
      </c>
      <c r="F15" s="23">
        <f t="shared" ref="F15:F21" si="8">IF(C15="","",C15*$B$6)</f>
        <v>19</v>
      </c>
      <c r="G15" s="23">
        <f t="shared" ref="G15:G21" si="9">IF(C15="","",SUM(D15:F15))</f>
        <v>85.5</v>
      </c>
      <c r="H15" s="23">
        <f t="shared" si="5"/>
        <v>104.5</v>
      </c>
      <c r="I15" s="24" t="s">
        <v>41</v>
      </c>
      <c r="J15" s="25"/>
    </row>
    <row r="16" ht="16.5" customHeight="1">
      <c r="A16" s="20"/>
      <c r="B16" s="17">
        <v>46121.0</v>
      </c>
      <c r="C16" s="21">
        <v>40.0</v>
      </c>
      <c r="D16" s="22">
        <f t="shared" si="6"/>
        <v>6</v>
      </c>
      <c r="E16" s="22">
        <f t="shared" si="7"/>
        <v>8</v>
      </c>
      <c r="F16" s="23">
        <f t="shared" si="8"/>
        <v>4</v>
      </c>
      <c r="G16" s="23">
        <f t="shared" si="9"/>
        <v>18</v>
      </c>
      <c r="H16" s="23">
        <f t="shared" si="5"/>
        <v>22</v>
      </c>
      <c r="I16" s="24" t="s">
        <v>42</v>
      </c>
      <c r="J16" s="25"/>
    </row>
    <row r="17" ht="16.5" customHeight="1">
      <c r="A17" s="20"/>
      <c r="B17" s="17">
        <v>46126.0</v>
      </c>
      <c r="C17" s="21">
        <v>40.0</v>
      </c>
      <c r="D17" s="22">
        <f t="shared" si="6"/>
        <v>6</v>
      </c>
      <c r="E17" s="22">
        <f t="shared" si="7"/>
        <v>8</v>
      </c>
      <c r="F17" s="23">
        <f t="shared" si="8"/>
        <v>4</v>
      </c>
      <c r="G17" s="23">
        <f t="shared" si="9"/>
        <v>18</v>
      </c>
      <c r="H17" s="23">
        <f t="shared" si="5"/>
        <v>22</v>
      </c>
      <c r="I17" s="24" t="s">
        <v>43</v>
      </c>
      <c r="J17" s="25"/>
    </row>
    <row r="18" ht="16.5" customHeight="1">
      <c r="A18" s="20"/>
      <c r="B18" s="17">
        <v>46132.0</v>
      </c>
      <c r="C18" s="21">
        <v>52.5</v>
      </c>
      <c r="D18" s="22">
        <f t="shared" si="6"/>
        <v>7.875</v>
      </c>
      <c r="E18" s="22">
        <f t="shared" si="7"/>
        <v>10.5</v>
      </c>
      <c r="F18" s="23">
        <f t="shared" si="8"/>
        <v>5.25</v>
      </c>
      <c r="G18" s="23">
        <f t="shared" si="9"/>
        <v>23.625</v>
      </c>
      <c r="H18" s="23">
        <f t="shared" si="5"/>
        <v>28.875</v>
      </c>
      <c r="I18" s="24" t="s">
        <v>44</v>
      </c>
      <c r="J18" s="25"/>
    </row>
    <row r="19" ht="16.5" customHeight="1">
      <c r="A19" s="20"/>
      <c r="B19" s="17">
        <v>46132.0</v>
      </c>
      <c r="C19" s="21">
        <v>40.0</v>
      </c>
      <c r="D19" s="22">
        <f t="shared" si="6"/>
        <v>6</v>
      </c>
      <c r="E19" s="22">
        <f t="shared" si="7"/>
        <v>8</v>
      </c>
      <c r="F19" s="23">
        <f t="shared" si="8"/>
        <v>4</v>
      </c>
      <c r="G19" s="23">
        <f t="shared" si="9"/>
        <v>18</v>
      </c>
      <c r="H19" s="23">
        <f t="shared" si="5"/>
        <v>22</v>
      </c>
      <c r="I19" s="24" t="s">
        <v>45</v>
      </c>
      <c r="J19" s="25"/>
    </row>
    <row r="20" ht="16.5" customHeight="1">
      <c r="A20" s="20"/>
      <c r="B20" s="17">
        <v>46134.0</v>
      </c>
      <c r="C20" s="21">
        <v>40.0</v>
      </c>
      <c r="D20" s="22">
        <f t="shared" si="6"/>
        <v>6</v>
      </c>
      <c r="E20" s="22">
        <f t="shared" si="7"/>
        <v>8</v>
      </c>
      <c r="F20" s="23">
        <f t="shared" si="8"/>
        <v>4</v>
      </c>
      <c r="G20" s="23">
        <f t="shared" si="9"/>
        <v>18</v>
      </c>
      <c r="H20" s="23">
        <f t="shared" si="5"/>
        <v>22</v>
      </c>
      <c r="I20" s="24" t="s">
        <v>46</v>
      </c>
      <c r="J20" s="25"/>
    </row>
    <row r="21" ht="16.5" customHeight="1">
      <c r="A21" s="20"/>
      <c r="B21" s="17">
        <v>46141.0</v>
      </c>
      <c r="C21" s="21">
        <v>40.0</v>
      </c>
      <c r="D21" s="22">
        <f t="shared" si="6"/>
        <v>6</v>
      </c>
      <c r="E21" s="22">
        <f t="shared" si="7"/>
        <v>8</v>
      </c>
      <c r="F21" s="23">
        <f t="shared" si="8"/>
        <v>4</v>
      </c>
      <c r="G21" s="23">
        <f t="shared" si="9"/>
        <v>18</v>
      </c>
      <c r="H21" s="23">
        <f t="shared" si="5"/>
        <v>22</v>
      </c>
      <c r="I21" s="24" t="s">
        <v>42</v>
      </c>
      <c r="J21" s="25"/>
    </row>
    <row r="22" ht="16.5" customHeight="1">
      <c r="A22" s="20"/>
      <c r="B22" s="17">
        <v>46141.0</v>
      </c>
      <c r="C22" s="21">
        <v>40.0</v>
      </c>
      <c r="D22" s="22">
        <v>0.0</v>
      </c>
      <c r="E22" s="22">
        <v>0.0</v>
      </c>
      <c r="F22" s="23">
        <v>0.0</v>
      </c>
      <c r="G22" s="23">
        <v>0.0</v>
      </c>
      <c r="H22" s="23">
        <f t="shared" si="5"/>
        <v>40</v>
      </c>
      <c r="I22" s="24" t="s">
        <v>47</v>
      </c>
      <c r="J22" s="26" t="s">
        <v>40</v>
      </c>
    </row>
    <row r="23" ht="16.5" customHeight="1">
      <c r="A23" s="20"/>
      <c r="B23" s="17">
        <v>46141.0</v>
      </c>
      <c r="C23" s="21">
        <v>40.0</v>
      </c>
      <c r="D23" s="22">
        <f t="shared" ref="D23:D26" si="10">IF(C23="","",C23*$B$4)</f>
        <v>6</v>
      </c>
      <c r="E23" s="22">
        <f t="shared" ref="E23:E26" si="11">IF(C23="","",C23*$B$5)</f>
        <v>8</v>
      </c>
      <c r="F23" s="23">
        <f t="shared" ref="F23:F26" si="12">IF(C23="","",C23*$B$6)</f>
        <v>4</v>
      </c>
      <c r="G23" s="23">
        <f t="shared" ref="G23:G26" si="13">IF(C23="","",SUM(D23:F23))</f>
        <v>18</v>
      </c>
      <c r="H23" s="23">
        <f t="shared" si="5"/>
        <v>22</v>
      </c>
      <c r="I23" s="24" t="s">
        <v>48</v>
      </c>
      <c r="J23" s="25"/>
    </row>
    <row r="24" ht="16.5" customHeight="1">
      <c r="A24" s="20"/>
      <c r="B24" s="17">
        <v>46141.0</v>
      </c>
      <c r="C24" s="21">
        <v>40.0</v>
      </c>
      <c r="D24" s="22">
        <f t="shared" si="10"/>
        <v>6</v>
      </c>
      <c r="E24" s="22">
        <f t="shared" si="11"/>
        <v>8</v>
      </c>
      <c r="F24" s="23">
        <f t="shared" si="12"/>
        <v>4</v>
      </c>
      <c r="G24" s="23">
        <f t="shared" si="13"/>
        <v>18</v>
      </c>
      <c r="H24" s="23">
        <f t="shared" si="5"/>
        <v>22</v>
      </c>
      <c r="I24" s="24" t="s">
        <v>49</v>
      </c>
      <c r="J24" s="25"/>
    </row>
    <row r="25" ht="16.5" customHeight="1">
      <c r="A25" s="20"/>
      <c r="B25" s="17">
        <v>46141.0</v>
      </c>
      <c r="C25" s="21">
        <v>80.0</v>
      </c>
      <c r="D25" s="22">
        <f t="shared" si="10"/>
        <v>12</v>
      </c>
      <c r="E25" s="22">
        <f t="shared" si="11"/>
        <v>16</v>
      </c>
      <c r="F25" s="23">
        <f t="shared" si="12"/>
        <v>8</v>
      </c>
      <c r="G25" s="23">
        <f t="shared" si="13"/>
        <v>36</v>
      </c>
      <c r="H25" s="23">
        <f t="shared" si="5"/>
        <v>44</v>
      </c>
      <c r="I25" s="24" t="s">
        <v>50</v>
      </c>
      <c r="J25" s="25"/>
    </row>
    <row r="26" ht="16.5" customHeight="1">
      <c r="A26" s="27"/>
      <c r="B26" s="17">
        <v>46142.0</v>
      </c>
      <c r="C26" s="21">
        <v>310.0</v>
      </c>
      <c r="D26" s="22">
        <f t="shared" si="10"/>
        <v>46.5</v>
      </c>
      <c r="E26" s="22">
        <f t="shared" si="11"/>
        <v>62</v>
      </c>
      <c r="F26" s="23">
        <f t="shared" si="12"/>
        <v>31</v>
      </c>
      <c r="G26" s="23">
        <f t="shared" si="13"/>
        <v>139.5</v>
      </c>
      <c r="H26" s="23">
        <f t="shared" si="5"/>
        <v>170.5</v>
      </c>
      <c r="I26" s="24" t="s">
        <v>51</v>
      </c>
      <c r="J26" s="25"/>
    </row>
    <row r="27" ht="16.5" customHeight="1">
      <c r="A27" s="28" t="s">
        <v>52</v>
      </c>
      <c r="B27" s="15"/>
      <c r="C27" s="29">
        <f t="shared" ref="C27:H27" si="14">SUM(C12:C26)</f>
        <v>1135.5</v>
      </c>
      <c r="D27" s="21">
        <f t="shared" si="14"/>
        <v>154.875</v>
      </c>
      <c r="E27" s="29">
        <f t="shared" si="14"/>
        <v>206.5</v>
      </c>
      <c r="F27" s="29">
        <f t="shared" si="14"/>
        <v>103.25</v>
      </c>
      <c r="G27" s="29">
        <f t="shared" si="14"/>
        <v>464.625</v>
      </c>
      <c r="H27" s="29">
        <f t="shared" si="14"/>
        <v>670.875</v>
      </c>
      <c r="I27" s="30" t="s">
        <v>52</v>
      </c>
      <c r="J27" s="31"/>
    </row>
    <row r="28" ht="16.5" customHeight="1">
      <c r="A28" s="16" t="s">
        <v>53</v>
      </c>
      <c r="B28" s="17">
        <v>46143.0</v>
      </c>
      <c r="C28" s="32">
        <v>80.0</v>
      </c>
      <c r="D28" s="32">
        <f t="shared" ref="D28:D60" si="15">IF(C28="","",C28*$B$4)</f>
        <v>12</v>
      </c>
      <c r="E28" s="23">
        <f t="shared" ref="E28:E60" si="16">IF(C28="","",C28*$B$5)</f>
        <v>16</v>
      </c>
      <c r="F28" s="23">
        <f t="shared" ref="F28:F60" si="17">IF(C28="","",C28*$B$6)</f>
        <v>8</v>
      </c>
      <c r="G28" s="23">
        <f t="shared" ref="G28:G60" si="18">IF(C28="","",SUM(D28:F28))</f>
        <v>36</v>
      </c>
      <c r="H28" s="23">
        <f t="shared" ref="H28:H60" si="19">IF(C28="","",C28-G28)</f>
        <v>44</v>
      </c>
      <c r="I28" s="24" t="s">
        <v>54</v>
      </c>
      <c r="J28" s="31"/>
    </row>
    <row r="29" ht="16.5" customHeight="1">
      <c r="A29" s="20"/>
      <c r="B29" s="17">
        <v>46144.0</v>
      </c>
      <c r="C29" s="32">
        <v>120.0</v>
      </c>
      <c r="D29" s="32">
        <f t="shared" si="15"/>
        <v>18</v>
      </c>
      <c r="E29" s="23">
        <f t="shared" si="16"/>
        <v>24</v>
      </c>
      <c r="F29" s="23">
        <f t="shared" si="17"/>
        <v>12</v>
      </c>
      <c r="G29" s="23">
        <f t="shared" si="18"/>
        <v>54</v>
      </c>
      <c r="H29" s="23">
        <f t="shared" si="19"/>
        <v>66</v>
      </c>
      <c r="I29" s="33" t="s">
        <v>55</v>
      </c>
      <c r="J29" s="31"/>
    </row>
    <row r="30" ht="16.5" customHeight="1">
      <c r="A30" s="20"/>
      <c r="B30" s="17">
        <v>46145.0</v>
      </c>
      <c r="C30" s="34">
        <v>155.0</v>
      </c>
      <c r="D30" s="32">
        <f t="shared" si="15"/>
        <v>23.25</v>
      </c>
      <c r="E30" s="23">
        <f t="shared" si="16"/>
        <v>31</v>
      </c>
      <c r="F30" s="23">
        <f t="shared" si="17"/>
        <v>15.5</v>
      </c>
      <c r="G30" s="23">
        <f t="shared" si="18"/>
        <v>69.75</v>
      </c>
      <c r="H30" s="23">
        <f t="shared" si="19"/>
        <v>85.25</v>
      </c>
      <c r="I30" s="35" t="s">
        <v>56</v>
      </c>
      <c r="J30" s="31"/>
    </row>
    <row r="31" ht="16.5" customHeight="1">
      <c r="A31" s="20"/>
      <c r="B31" s="17">
        <v>46146.0</v>
      </c>
      <c r="C31" s="34">
        <v>40.0</v>
      </c>
      <c r="D31" s="32">
        <f t="shared" si="15"/>
        <v>6</v>
      </c>
      <c r="E31" s="23">
        <f t="shared" si="16"/>
        <v>8</v>
      </c>
      <c r="F31" s="23">
        <f t="shared" si="17"/>
        <v>4</v>
      </c>
      <c r="G31" s="23">
        <f t="shared" si="18"/>
        <v>18</v>
      </c>
      <c r="H31" s="23">
        <f t="shared" si="19"/>
        <v>22</v>
      </c>
      <c r="I31" s="35" t="s">
        <v>57</v>
      </c>
      <c r="J31" s="31"/>
    </row>
    <row r="32" ht="16.5" customHeight="1">
      <c r="A32" s="20"/>
      <c r="B32" s="17">
        <v>46147.0</v>
      </c>
      <c r="C32" s="34">
        <v>80.0</v>
      </c>
      <c r="D32" s="32">
        <f t="shared" si="15"/>
        <v>12</v>
      </c>
      <c r="E32" s="23">
        <f t="shared" si="16"/>
        <v>16</v>
      </c>
      <c r="F32" s="23">
        <f t="shared" si="17"/>
        <v>8</v>
      </c>
      <c r="G32" s="23">
        <f t="shared" si="18"/>
        <v>36</v>
      </c>
      <c r="H32" s="23">
        <f t="shared" si="19"/>
        <v>44</v>
      </c>
      <c r="I32" s="35" t="s">
        <v>58</v>
      </c>
      <c r="J32" s="31"/>
    </row>
    <row r="33" ht="16.5" customHeight="1">
      <c r="A33" s="20"/>
      <c r="B33" s="17">
        <v>46148.0</v>
      </c>
      <c r="C33" s="34">
        <v>40.0</v>
      </c>
      <c r="D33" s="32">
        <f t="shared" si="15"/>
        <v>6</v>
      </c>
      <c r="E33" s="23">
        <f t="shared" si="16"/>
        <v>8</v>
      </c>
      <c r="F33" s="23">
        <f t="shared" si="17"/>
        <v>4</v>
      </c>
      <c r="G33" s="23">
        <f t="shared" si="18"/>
        <v>18</v>
      </c>
      <c r="H33" s="23">
        <f t="shared" si="19"/>
        <v>22</v>
      </c>
      <c r="I33" s="35" t="s">
        <v>59</v>
      </c>
      <c r="J33" s="31"/>
    </row>
    <row r="34" ht="16.5" customHeight="1">
      <c r="A34" s="20"/>
      <c r="B34" s="17">
        <v>46149.0</v>
      </c>
      <c r="C34" s="34">
        <v>40.0</v>
      </c>
      <c r="D34" s="32">
        <f t="shared" si="15"/>
        <v>6</v>
      </c>
      <c r="E34" s="23">
        <f t="shared" si="16"/>
        <v>8</v>
      </c>
      <c r="F34" s="23">
        <f t="shared" si="17"/>
        <v>4</v>
      </c>
      <c r="G34" s="23">
        <f t="shared" si="18"/>
        <v>18</v>
      </c>
      <c r="H34" s="23">
        <f t="shared" si="19"/>
        <v>22</v>
      </c>
      <c r="I34" s="35" t="s">
        <v>60</v>
      </c>
      <c r="J34" s="31"/>
    </row>
    <row r="35" ht="16.5" customHeight="1">
      <c r="A35" s="20"/>
      <c r="B35" s="17">
        <v>46150.0</v>
      </c>
      <c r="C35" s="34">
        <v>80.0</v>
      </c>
      <c r="D35" s="32">
        <f t="shared" si="15"/>
        <v>12</v>
      </c>
      <c r="E35" s="23">
        <f t="shared" si="16"/>
        <v>16</v>
      </c>
      <c r="F35" s="23">
        <f t="shared" si="17"/>
        <v>8</v>
      </c>
      <c r="G35" s="23">
        <f t="shared" si="18"/>
        <v>36</v>
      </c>
      <c r="H35" s="23">
        <f t="shared" si="19"/>
        <v>44</v>
      </c>
      <c r="I35" s="35" t="s">
        <v>61</v>
      </c>
      <c r="J35" s="31"/>
    </row>
    <row r="36" ht="16.5" customHeight="1">
      <c r="A36" s="20"/>
      <c r="B36" s="36">
        <v>46150.0</v>
      </c>
      <c r="C36" s="34">
        <v>300.0</v>
      </c>
      <c r="D36" s="32">
        <f t="shared" si="15"/>
        <v>45</v>
      </c>
      <c r="E36" s="23">
        <f t="shared" si="16"/>
        <v>60</v>
      </c>
      <c r="F36" s="23">
        <f t="shared" si="17"/>
        <v>30</v>
      </c>
      <c r="G36" s="23">
        <f t="shared" si="18"/>
        <v>135</v>
      </c>
      <c r="H36" s="23">
        <f t="shared" si="19"/>
        <v>165</v>
      </c>
      <c r="I36" s="35" t="s">
        <v>62</v>
      </c>
      <c r="J36" s="37" t="s">
        <v>63</v>
      </c>
    </row>
    <row r="37" ht="16.5" customHeight="1">
      <c r="A37" s="20"/>
      <c r="B37" s="36">
        <v>46150.0</v>
      </c>
      <c r="C37" s="34">
        <v>80.0</v>
      </c>
      <c r="D37" s="32">
        <f t="shared" si="15"/>
        <v>12</v>
      </c>
      <c r="E37" s="23">
        <f t="shared" si="16"/>
        <v>16</v>
      </c>
      <c r="F37" s="23">
        <f t="shared" si="17"/>
        <v>8</v>
      </c>
      <c r="G37" s="23">
        <f t="shared" si="18"/>
        <v>36</v>
      </c>
      <c r="H37" s="23">
        <f t="shared" si="19"/>
        <v>44</v>
      </c>
      <c r="I37" s="35" t="s">
        <v>64</v>
      </c>
      <c r="J37" s="31"/>
    </row>
    <row r="38" ht="16.5" customHeight="1">
      <c r="A38" s="20"/>
      <c r="B38" s="36">
        <v>46150.0</v>
      </c>
      <c r="C38" s="34">
        <v>80.0</v>
      </c>
      <c r="D38" s="32">
        <f t="shared" si="15"/>
        <v>12</v>
      </c>
      <c r="E38" s="23">
        <f t="shared" si="16"/>
        <v>16</v>
      </c>
      <c r="F38" s="23">
        <f t="shared" si="17"/>
        <v>8</v>
      </c>
      <c r="G38" s="23">
        <f t="shared" si="18"/>
        <v>36</v>
      </c>
      <c r="H38" s="23">
        <f t="shared" si="19"/>
        <v>44</v>
      </c>
      <c r="I38" s="38" t="s">
        <v>37</v>
      </c>
      <c r="J38" s="39"/>
    </row>
    <row r="39" ht="16.5" customHeight="1">
      <c r="A39" s="20"/>
      <c r="B39" s="36">
        <v>46150.0</v>
      </c>
      <c r="C39" s="34">
        <v>80.0</v>
      </c>
      <c r="D39" s="32">
        <f t="shared" si="15"/>
        <v>12</v>
      </c>
      <c r="E39" s="23">
        <f t="shared" si="16"/>
        <v>16</v>
      </c>
      <c r="F39" s="23">
        <f t="shared" si="17"/>
        <v>8</v>
      </c>
      <c r="G39" s="23">
        <f t="shared" si="18"/>
        <v>36</v>
      </c>
      <c r="H39" s="40">
        <f t="shared" si="19"/>
        <v>44</v>
      </c>
      <c r="I39" s="41" t="s">
        <v>65</v>
      </c>
      <c r="J39" s="42"/>
    </row>
    <row r="40" ht="13.5" customHeight="1">
      <c r="A40" s="20"/>
      <c r="B40" s="36">
        <v>46150.0</v>
      </c>
      <c r="C40" s="34">
        <v>80.0</v>
      </c>
      <c r="D40" s="32">
        <f t="shared" si="15"/>
        <v>12</v>
      </c>
      <c r="E40" s="23">
        <f t="shared" si="16"/>
        <v>16</v>
      </c>
      <c r="F40" s="23">
        <f t="shared" si="17"/>
        <v>8</v>
      </c>
      <c r="G40" s="23">
        <f t="shared" si="18"/>
        <v>36</v>
      </c>
      <c r="H40" s="40">
        <f t="shared" si="19"/>
        <v>44</v>
      </c>
      <c r="I40" s="43" t="s">
        <v>66</v>
      </c>
      <c r="J40" s="44"/>
    </row>
    <row r="41" ht="13.5" customHeight="1">
      <c r="A41" s="20"/>
      <c r="B41" s="36">
        <v>46150.0</v>
      </c>
      <c r="C41" s="34">
        <v>100.0</v>
      </c>
      <c r="D41" s="32">
        <f t="shared" si="15"/>
        <v>15</v>
      </c>
      <c r="E41" s="23">
        <f t="shared" si="16"/>
        <v>20</v>
      </c>
      <c r="F41" s="23">
        <f t="shared" si="17"/>
        <v>10</v>
      </c>
      <c r="G41" s="23">
        <f t="shared" si="18"/>
        <v>45</v>
      </c>
      <c r="H41" s="40">
        <f t="shared" si="19"/>
        <v>55</v>
      </c>
      <c r="I41" s="43" t="s">
        <v>67</v>
      </c>
      <c r="J41" s="44"/>
    </row>
    <row r="42" ht="13.5" customHeight="1">
      <c r="A42" s="20"/>
      <c r="B42" s="36">
        <v>46150.0</v>
      </c>
      <c r="C42" s="34">
        <v>40.0</v>
      </c>
      <c r="D42" s="32">
        <f t="shared" si="15"/>
        <v>6</v>
      </c>
      <c r="E42" s="23">
        <f t="shared" si="16"/>
        <v>8</v>
      </c>
      <c r="F42" s="23">
        <f t="shared" si="17"/>
        <v>4</v>
      </c>
      <c r="G42" s="23">
        <f t="shared" si="18"/>
        <v>18</v>
      </c>
      <c r="H42" s="40">
        <f t="shared" si="19"/>
        <v>22</v>
      </c>
      <c r="I42" s="43" t="s">
        <v>68</v>
      </c>
      <c r="J42" s="44"/>
    </row>
    <row r="43" ht="13.5" customHeight="1">
      <c r="A43" s="20"/>
      <c r="B43" s="36">
        <v>46150.0</v>
      </c>
      <c r="C43" s="34">
        <v>30.0</v>
      </c>
      <c r="D43" s="32">
        <f t="shared" si="15"/>
        <v>4.5</v>
      </c>
      <c r="E43" s="23">
        <f t="shared" si="16"/>
        <v>6</v>
      </c>
      <c r="F43" s="23">
        <f t="shared" si="17"/>
        <v>3</v>
      </c>
      <c r="G43" s="23">
        <f t="shared" si="18"/>
        <v>13.5</v>
      </c>
      <c r="H43" s="40">
        <f t="shared" si="19"/>
        <v>16.5</v>
      </c>
      <c r="I43" s="45" t="s">
        <v>69</v>
      </c>
      <c r="J43" s="44"/>
    </row>
    <row r="44" ht="13.5" customHeight="1">
      <c r="A44" s="20"/>
      <c r="B44" s="36">
        <v>46151.0</v>
      </c>
      <c r="C44" s="34">
        <v>38.0</v>
      </c>
      <c r="D44" s="32">
        <f t="shared" si="15"/>
        <v>5.7</v>
      </c>
      <c r="E44" s="23">
        <f t="shared" si="16"/>
        <v>7.6</v>
      </c>
      <c r="F44" s="23">
        <f t="shared" si="17"/>
        <v>3.8</v>
      </c>
      <c r="G44" s="23">
        <f t="shared" si="18"/>
        <v>17.1</v>
      </c>
      <c r="H44" s="40">
        <f t="shared" si="19"/>
        <v>20.9</v>
      </c>
      <c r="I44" s="46" t="s">
        <v>70</v>
      </c>
      <c r="J44" s="47"/>
    </row>
    <row r="45" ht="13.5" customHeight="1">
      <c r="A45" s="20"/>
      <c r="B45" s="36">
        <v>46154.0</v>
      </c>
      <c r="C45" s="34">
        <v>80.0</v>
      </c>
      <c r="D45" s="32">
        <f t="shared" si="15"/>
        <v>12</v>
      </c>
      <c r="E45" s="23">
        <f t="shared" si="16"/>
        <v>16</v>
      </c>
      <c r="F45" s="23">
        <f t="shared" si="17"/>
        <v>8</v>
      </c>
      <c r="G45" s="23">
        <f t="shared" si="18"/>
        <v>36</v>
      </c>
      <c r="H45" s="40">
        <f t="shared" si="19"/>
        <v>44</v>
      </c>
      <c r="I45" s="46" t="s">
        <v>71</v>
      </c>
      <c r="J45" s="47"/>
    </row>
    <row r="46" ht="13.5" customHeight="1">
      <c r="A46" s="20"/>
      <c r="B46" s="36">
        <v>46154.0</v>
      </c>
      <c r="C46" s="34">
        <v>52.5</v>
      </c>
      <c r="D46" s="32">
        <f t="shared" si="15"/>
        <v>7.875</v>
      </c>
      <c r="E46" s="23">
        <f t="shared" si="16"/>
        <v>10.5</v>
      </c>
      <c r="F46" s="23">
        <f t="shared" si="17"/>
        <v>5.25</v>
      </c>
      <c r="G46" s="23">
        <f t="shared" si="18"/>
        <v>23.625</v>
      </c>
      <c r="H46" s="40">
        <f t="shared" si="19"/>
        <v>28.875</v>
      </c>
      <c r="I46" s="48" t="s">
        <v>72</v>
      </c>
      <c r="J46" s="47"/>
    </row>
    <row r="47" ht="13.5" customHeight="1">
      <c r="A47" s="20"/>
      <c r="B47" s="36">
        <v>46155.0</v>
      </c>
      <c r="C47" s="34">
        <v>40.0</v>
      </c>
      <c r="D47" s="49">
        <f t="shared" si="15"/>
        <v>6</v>
      </c>
      <c r="E47" s="23">
        <f t="shared" si="16"/>
        <v>8</v>
      </c>
      <c r="F47" s="23">
        <f t="shared" si="17"/>
        <v>4</v>
      </c>
      <c r="G47" s="23">
        <f t="shared" si="18"/>
        <v>18</v>
      </c>
      <c r="H47" s="40">
        <f t="shared" si="19"/>
        <v>22</v>
      </c>
      <c r="I47" s="46" t="s">
        <v>73</v>
      </c>
      <c r="J47" s="47"/>
    </row>
    <row r="48" ht="13.5" customHeight="1">
      <c r="A48" s="20"/>
      <c r="B48" s="36">
        <v>46161.0</v>
      </c>
      <c r="C48" s="34">
        <v>40.0</v>
      </c>
      <c r="D48" s="49">
        <f t="shared" si="15"/>
        <v>6</v>
      </c>
      <c r="E48" s="23">
        <f t="shared" si="16"/>
        <v>8</v>
      </c>
      <c r="F48" s="23">
        <f t="shared" si="17"/>
        <v>4</v>
      </c>
      <c r="G48" s="23">
        <f t="shared" si="18"/>
        <v>18</v>
      </c>
      <c r="H48" s="40">
        <f t="shared" si="19"/>
        <v>22</v>
      </c>
      <c r="I48" s="46" t="s">
        <v>74</v>
      </c>
      <c r="J48" s="47"/>
    </row>
    <row r="49" ht="13.5" customHeight="1">
      <c r="A49" s="20"/>
      <c r="B49" s="36">
        <v>46161.0</v>
      </c>
      <c r="C49" s="34">
        <v>40.0</v>
      </c>
      <c r="D49" s="49">
        <f t="shared" si="15"/>
        <v>6</v>
      </c>
      <c r="E49" s="23">
        <f t="shared" si="16"/>
        <v>8</v>
      </c>
      <c r="F49" s="23">
        <f t="shared" si="17"/>
        <v>4</v>
      </c>
      <c r="G49" s="23">
        <f t="shared" si="18"/>
        <v>18</v>
      </c>
      <c r="H49" s="40">
        <f t="shared" si="19"/>
        <v>22</v>
      </c>
      <c r="I49" s="46" t="s">
        <v>68</v>
      </c>
      <c r="J49" s="47"/>
    </row>
    <row r="50" ht="13.5" customHeight="1">
      <c r="A50" s="20"/>
      <c r="B50" s="36">
        <v>46163.0</v>
      </c>
      <c r="C50" s="34">
        <v>40.0</v>
      </c>
      <c r="D50" s="49">
        <f t="shared" si="15"/>
        <v>6</v>
      </c>
      <c r="E50" s="23">
        <f t="shared" si="16"/>
        <v>8</v>
      </c>
      <c r="F50" s="23">
        <f t="shared" si="17"/>
        <v>4</v>
      </c>
      <c r="G50" s="23">
        <f t="shared" si="18"/>
        <v>18</v>
      </c>
      <c r="H50" s="40">
        <f t="shared" si="19"/>
        <v>22</v>
      </c>
      <c r="I50" s="46" t="s">
        <v>75</v>
      </c>
      <c r="J50" s="47"/>
    </row>
    <row r="51" ht="13.5" customHeight="1">
      <c r="A51" s="20"/>
      <c r="B51" s="36">
        <v>46163.0</v>
      </c>
      <c r="C51" s="34">
        <v>0.0</v>
      </c>
      <c r="D51" s="49">
        <f t="shared" si="15"/>
        <v>0</v>
      </c>
      <c r="E51" s="23">
        <f t="shared" si="16"/>
        <v>0</v>
      </c>
      <c r="F51" s="23">
        <f t="shared" si="17"/>
        <v>0</v>
      </c>
      <c r="G51" s="23">
        <f t="shared" si="18"/>
        <v>0</v>
      </c>
      <c r="H51" s="40">
        <f t="shared" si="19"/>
        <v>0</v>
      </c>
      <c r="I51" s="50"/>
      <c r="J51" s="51"/>
    </row>
    <row r="52" ht="13.5" customHeight="1">
      <c r="A52" s="20"/>
      <c r="B52" s="36">
        <v>46164.0</v>
      </c>
      <c r="C52" s="34">
        <v>75.0</v>
      </c>
      <c r="D52" s="49">
        <f t="shared" si="15"/>
        <v>11.25</v>
      </c>
      <c r="E52" s="23">
        <f t="shared" si="16"/>
        <v>15</v>
      </c>
      <c r="F52" s="23">
        <f t="shared" si="17"/>
        <v>7.5</v>
      </c>
      <c r="G52" s="23">
        <f t="shared" si="18"/>
        <v>33.75</v>
      </c>
      <c r="H52" s="40">
        <f t="shared" si="19"/>
        <v>41.25</v>
      </c>
      <c r="I52" s="46" t="s">
        <v>76</v>
      </c>
      <c r="J52" s="47"/>
    </row>
    <row r="53" ht="13.5" customHeight="1">
      <c r="A53" s="20"/>
      <c r="B53" s="36">
        <v>46165.0</v>
      </c>
      <c r="C53" s="34">
        <v>40.0</v>
      </c>
      <c r="D53" s="52">
        <f t="shared" si="15"/>
        <v>6</v>
      </c>
      <c r="E53" s="23">
        <f t="shared" si="16"/>
        <v>8</v>
      </c>
      <c r="F53" s="23">
        <f t="shared" si="17"/>
        <v>4</v>
      </c>
      <c r="G53" s="23">
        <f t="shared" si="18"/>
        <v>18</v>
      </c>
      <c r="H53" s="40">
        <f t="shared" si="19"/>
        <v>22</v>
      </c>
      <c r="I53" s="46" t="s">
        <v>77</v>
      </c>
      <c r="J53" s="47"/>
    </row>
    <row r="54" ht="13.5" customHeight="1">
      <c r="A54" s="20"/>
      <c r="B54" s="36">
        <v>46170.0</v>
      </c>
      <c r="C54" s="34">
        <v>50.0</v>
      </c>
      <c r="D54" s="52">
        <f t="shared" si="15"/>
        <v>7.5</v>
      </c>
      <c r="E54" s="23">
        <f t="shared" si="16"/>
        <v>10</v>
      </c>
      <c r="F54" s="23">
        <f t="shared" si="17"/>
        <v>5</v>
      </c>
      <c r="G54" s="23">
        <f t="shared" si="18"/>
        <v>22.5</v>
      </c>
      <c r="H54" s="40">
        <f t="shared" si="19"/>
        <v>27.5</v>
      </c>
      <c r="I54" s="46" t="s">
        <v>78</v>
      </c>
      <c r="J54" s="47"/>
    </row>
    <row r="55" ht="13.5" customHeight="1">
      <c r="A55" s="20"/>
      <c r="B55" s="36">
        <v>46171.0</v>
      </c>
      <c r="C55" s="34">
        <v>300.0</v>
      </c>
      <c r="D55" s="52">
        <f t="shared" si="15"/>
        <v>45</v>
      </c>
      <c r="E55" s="23">
        <f t="shared" si="16"/>
        <v>60</v>
      </c>
      <c r="F55" s="23">
        <f t="shared" si="17"/>
        <v>30</v>
      </c>
      <c r="G55" s="23">
        <f t="shared" si="18"/>
        <v>135</v>
      </c>
      <c r="H55" s="40">
        <f t="shared" si="19"/>
        <v>165</v>
      </c>
      <c r="I55" s="46" t="s">
        <v>79</v>
      </c>
      <c r="J55" s="47"/>
    </row>
    <row r="56" ht="13.5" customHeight="1">
      <c r="A56" s="20"/>
      <c r="B56" s="36">
        <v>46170.0</v>
      </c>
      <c r="C56" s="34">
        <v>80.0</v>
      </c>
      <c r="D56" s="52">
        <f t="shared" si="15"/>
        <v>12</v>
      </c>
      <c r="E56" s="23">
        <f t="shared" si="16"/>
        <v>16</v>
      </c>
      <c r="F56" s="23">
        <f t="shared" si="17"/>
        <v>8</v>
      </c>
      <c r="G56" s="23">
        <f t="shared" si="18"/>
        <v>36</v>
      </c>
      <c r="H56" s="40">
        <f t="shared" si="19"/>
        <v>44</v>
      </c>
      <c r="I56" s="46" t="s">
        <v>50</v>
      </c>
      <c r="J56" s="47"/>
    </row>
    <row r="57" ht="13.5" customHeight="1">
      <c r="A57" s="20"/>
      <c r="B57" s="36">
        <v>46171.0</v>
      </c>
      <c r="C57" s="34">
        <v>40.0</v>
      </c>
      <c r="D57" s="52">
        <f t="shared" si="15"/>
        <v>6</v>
      </c>
      <c r="E57" s="23">
        <f t="shared" si="16"/>
        <v>8</v>
      </c>
      <c r="F57" s="23">
        <f t="shared" si="17"/>
        <v>4</v>
      </c>
      <c r="G57" s="23">
        <f t="shared" si="18"/>
        <v>18</v>
      </c>
      <c r="H57" s="40">
        <f t="shared" si="19"/>
        <v>22</v>
      </c>
      <c r="I57" s="46" t="s">
        <v>80</v>
      </c>
      <c r="J57" s="47"/>
    </row>
    <row r="58" ht="13.5" customHeight="1">
      <c r="A58" s="20"/>
      <c r="B58" s="36">
        <v>46172.0</v>
      </c>
      <c r="C58" s="34">
        <v>80.0</v>
      </c>
      <c r="D58" s="52">
        <f t="shared" si="15"/>
        <v>12</v>
      </c>
      <c r="E58" s="23">
        <f t="shared" si="16"/>
        <v>16</v>
      </c>
      <c r="F58" s="23">
        <f t="shared" si="17"/>
        <v>8</v>
      </c>
      <c r="G58" s="23">
        <f t="shared" si="18"/>
        <v>36</v>
      </c>
      <c r="H58" s="40">
        <f t="shared" si="19"/>
        <v>44</v>
      </c>
      <c r="I58" s="46" t="s">
        <v>81</v>
      </c>
      <c r="J58" s="47"/>
    </row>
    <row r="59" ht="13.5" customHeight="1">
      <c r="A59" s="20"/>
      <c r="B59" s="36">
        <v>46173.0</v>
      </c>
      <c r="C59" s="34">
        <v>80.0</v>
      </c>
      <c r="D59" s="52">
        <f t="shared" si="15"/>
        <v>12</v>
      </c>
      <c r="E59" s="23">
        <f t="shared" si="16"/>
        <v>16</v>
      </c>
      <c r="F59" s="23">
        <f t="shared" si="17"/>
        <v>8</v>
      </c>
      <c r="G59" s="23">
        <f t="shared" si="18"/>
        <v>36</v>
      </c>
      <c r="H59" s="40">
        <f t="shared" si="19"/>
        <v>44</v>
      </c>
      <c r="I59" s="46" t="s">
        <v>82</v>
      </c>
      <c r="J59" s="47"/>
    </row>
    <row r="60" ht="13.5" customHeight="1">
      <c r="A60" s="27"/>
      <c r="B60" s="36">
        <v>46172.0</v>
      </c>
      <c r="C60" s="34">
        <v>30.0</v>
      </c>
      <c r="D60" s="52">
        <f t="shared" si="15"/>
        <v>4.5</v>
      </c>
      <c r="E60" s="23">
        <f t="shared" si="16"/>
        <v>6</v>
      </c>
      <c r="F60" s="23">
        <f t="shared" si="17"/>
        <v>3</v>
      </c>
      <c r="G60" s="23">
        <f t="shared" si="18"/>
        <v>13.5</v>
      </c>
      <c r="H60" s="40">
        <f t="shared" si="19"/>
        <v>16.5</v>
      </c>
      <c r="I60" s="46" t="s">
        <v>83</v>
      </c>
      <c r="J60" s="47"/>
    </row>
    <row r="61" ht="13.5" customHeight="1">
      <c r="A61" s="28" t="s">
        <v>52</v>
      </c>
      <c r="B61" s="15"/>
      <c r="C61" s="34">
        <f t="shared" ref="C61:H61" si="20">SUM(C28:C60)</f>
        <v>2530.5</v>
      </c>
      <c r="D61" s="34">
        <f t="shared" si="20"/>
        <v>379.575</v>
      </c>
      <c r="E61" s="34">
        <f t="shared" si="20"/>
        <v>506.1</v>
      </c>
      <c r="F61" s="53">
        <f t="shared" si="20"/>
        <v>253.05</v>
      </c>
      <c r="G61" s="34">
        <f t="shared" si="20"/>
        <v>1138.725</v>
      </c>
      <c r="H61" s="34">
        <f t="shared" si="20"/>
        <v>1391.775</v>
      </c>
      <c r="I61" s="54" t="s">
        <v>52</v>
      </c>
      <c r="J61" s="44"/>
    </row>
    <row r="62" ht="13.5" customHeight="1">
      <c r="A62" s="55"/>
      <c r="B62" s="36"/>
      <c r="C62" s="56"/>
      <c r="D62" s="23" t="str">
        <f t="shared" ref="D62:D63" si="21">IF(C62="","",C62*$B$4)</f>
        <v/>
      </c>
      <c r="E62" s="23" t="str">
        <f t="shared" ref="E62:E63" si="22">IF(C62="","",C62*$B$5)</f>
        <v/>
      </c>
      <c r="F62" s="23" t="str">
        <f t="shared" ref="F62:F63" si="23">IF(C62="","",C62*$B$6)</f>
        <v/>
      </c>
      <c r="G62" s="23" t="str">
        <f t="shared" ref="G62:G63" si="24">IF(C62="","",SUM(D62:F62))</f>
        <v/>
      </c>
      <c r="H62" s="40" t="str">
        <f t="shared" ref="H62:H63" si="25">IF(C62="","",C62-G62)</f>
        <v/>
      </c>
      <c r="I62" s="57"/>
      <c r="J62" s="44"/>
    </row>
    <row r="63" ht="13.5" customHeight="1">
      <c r="A63" s="58"/>
      <c r="B63" s="36"/>
      <c r="C63" s="56">
        <v>0.0</v>
      </c>
      <c r="D63" s="23">
        <f t="shared" si="21"/>
        <v>0</v>
      </c>
      <c r="E63" s="23">
        <f t="shared" si="22"/>
        <v>0</v>
      </c>
      <c r="F63" s="23">
        <f t="shared" si="23"/>
        <v>0</v>
      </c>
      <c r="G63" s="23">
        <f t="shared" si="24"/>
        <v>0</v>
      </c>
      <c r="H63" s="40">
        <f t="shared" si="25"/>
        <v>0</v>
      </c>
      <c r="I63" s="57"/>
      <c r="J63" s="44"/>
    </row>
    <row r="64" ht="13.5" customHeight="1">
      <c r="A64" s="59"/>
      <c r="B64" s="60" t="s">
        <v>84</v>
      </c>
      <c r="C64" s="61" t="s">
        <v>85</v>
      </c>
      <c r="D64" s="61" t="s">
        <v>86</v>
      </c>
      <c r="E64" s="61" t="s">
        <v>87</v>
      </c>
      <c r="F64" s="61" t="s">
        <v>88</v>
      </c>
      <c r="G64" s="61" t="s">
        <v>89</v>
      </c>
      <c r="H64" s="62" t="s">
        <v>90</v>
      </c>
      <c r="I64" s="63" t="s">
        <v>91</v>
      </c>
      <c r="J64" s="63" t="s">
        <v>92</v>
      </c>
    </row>
    <row r="65" ht="13.5" customHeight="1">
      <c r="A65" s="59" t="s">
        <v>93</v>
      </c>
      <c r="B65" s="64">
        <v>46145.0</v>
      </c>
      <c r="C65" s="65">
        <v>2772.5</v>
      </c>
      <c r="D65" s="65">
        <f>C65*0.3</f>
        <v>831.75</v>
      </c>
      <c r="E65" s="65">
        <f>C65-D65</f>
        <v>1940.75</v>
      </c>
      <c r="F65" s="65">
        <f>E65*0.23</f>
        <v>446.3725</v>
      </c>
      <c r="G65" s="66">
        <f>E65-F65</f>
        <v>1494.3775</v>
      </c>
      <c r="H65" s="66">
        <f>G65*0.15</f>
        <v>224.156625</v>
      </c>
      <c r="I65" s="67">
        <f>G65*0.1</f>
        <v>149.43775</v>
      </c>
      <c r="J65" s="68">
        <f>G65-H65-I65</f>
        <v>1120.783125</v>
      </c>
    </row>
    <row r="66" ht="13.5" customHeight="1">
      <c r="A66" s="4"/>
      <c r="B66" s="69"/>
      <c r="C66" s="4"/>
      <c r="D66" s="4"/>
      <c r="E66" s="70"/>
      <c r="F66" s="71" t="s">
        <v>94</v>
      </c>
      <c r="G66" s="4"/>
      <c r="H66" s="4"/>
      <c r="I66" s="4"/>
    </row>
    <row r="67" ht="13.5" customHeight="1">
      <c r="A67" s="4"/>
      <c r="B67" s="69"/>
      <c r="C67" s="4"/>
      <c r="D67" s="4"/>
      <c r="E67" s="70"/>
      <c r="F67" s="71"/>
      <c r="G67" s="4"/>
      <c r="H67" s="4"/>
      <c r="I67" s="4"/>
    </row>
    <row r="68" ht="13.5" customHeight="1">
      <c r="A68" s="4"/>
      <c r="B68" s="69"/>
      <c r="C68" s="4"/>
      <c r="D68" s="4"/>
      <c r="E68" s="70"/>
      <c r="F68" s="71"/>
      <c r="G68" s="4"/>
      <c r="H68" s="4"/>
      <c r="I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</row>
    <row r="70" ht="17.25" customHeight="1">
      <c r="A70" s="72" t="s">
        <v>95</v>
      </c>
      <c r="B70" s="72"/>
      <c r="C70" s="4"/>
      <c r="D70" s="4"/>
      <c r="E70" s="4"/>
      <c r="F70" s="4"/>
      <c r="G70" s="4"/>
      <c r="H70" s="4"/>
      <c r="I70" s="4"/>
    </row>
    <row r="71" ht="17.25" customHeight="1">
      <c r="A71" s="73" t="s">
        <v>96</v>
      </c>
      <c r="B71" s="74">
        <f>SUM(C12:C26,C28:C38,E65)</f>
        <v>4171.25</v>
      </c>
      <c r="C71" s="4"/>
      <c r="D71" s="4"/>
      <c r="E71" s="4"/>
      <c r="F71" s="4"/>
      <c r="G71" s="4"/>
      <c r="H71" s="4"/>
      <c r="I71" s="4"/>
    </row>
    <row r="72" ht="17.25" customHeight="1">
      <c r="A72" s="73" t="s">
        <v>97</v>
      </c>
      <c r="B72" s="74">
        <f>SUM(D10:D26,D28:D38,H65)</f>
        <v>543.281625</v>
      </c>
      <c r="C72" s="4"/>
      <c r="D72" s="4"/>
      <c r="E72" s="4"/>
      <c r="F72" s="4"/>
      <c r="G72" s="4"/>
      <c r="H72" s="4"/>
      <c r="I72" s="4"/>
    </row>
    <row r="73" ht="17.25" customHeight="1">
      <c r="A73" s="73" t="s">
        <v>98</v>
      </c>
      <c r="B73" s="74">
        <f>SUM(E10:E26,E28:E38)</f>
        <v>425.5</v>
      </c>
      <c r="C73" s="4"/>
      <c r="D73" s="4"/>
      <c r="E73" s="4"/>
      <c r="F73" s="4"/>
      <c r="G73" s="4"/>
      <c r="H73" s="4"/>
      <c r="I73" s="4"/>
    </row>
    <row r="74" ht="17.25" customHeight="1">
      <c r="A74" s="73" t="s">
        <v>99</v>
      </c>
      <c r="B74" s="75">
        <f>SUM(F10:F26,F28:F38,I65)</f>
        <v>362.18775</v>
      </c>
      <c r="C74" s="4"/>
      <c r="D74" s="4"/>
      <c r="E74" s="4"/>
      <c r="F74" s="4"/>
      <c r="G74" s="4"/>
      <c r="H74" s="4"/>
      <c r="I74" s="4"/>
    </row>
    <row r="75" ht="17.25" customHeight="1">
      <c r="A75" s="73" t="s">
        <v>100</v>
      </c>
      <c r="B75" s="76">
        <f>SUM(H10:H26,H28:H38,J65)</f>
        <v>2393.908125</v>
      </c>
      <c r="C75" s="4"/>
      <c r="D75" s="4"/>
      <c r="E75" s="4"/>
      <c r="F75" s="4"/>
      <c r="G75" s="4"/>
      <c r="H75" s="4"/>
      <c r="I75" s="4"/>
    </row>
    <row r="76" ht="17.25" customHeight="1">
      <c r="A76" s="73" t="s">
        <v>101</v>
      </c>
      <c r="B76" s="77">
        <f>IFERROR(SUM(G10:G36)/SUM(C10:C36),0)</f>
        <v>0.4210854648</v>
      </c>
      <c r="C76" s="4"/>
      <c r="D76" s="4"/>
      <c r="E76" s="4"/>
      <c r="F76" s="4"/>
      <c r="G76" s="4"/>
      <c r="H76" s="4"/>
      <c r="I76" s="4"/>
    </row>
    <row r="77" ht="13.5" customHeight="1"/>
    <row r="78" ht="13.5" customHeight="1"/>
    <row r="79" ht="13.5" customHeight="1"/>
    <row r="80" ht="13.5" customHeight="1">
      <c r="A80" s="78" t="s">
        <v>102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</sheetData>
  <mergeCells count="7">
    <mergeCell ref="A1:D1"/>
    <mergeCell ref="B7:C7"/>
    <mergeCell ref="I9:J9"/>
    <mergeCell ref="A10:A26"/>
    <mergeCell ref="A27:B27"/>
    <mergeCell ref="A28:A60"/>
    <mergeCell ref="A61:B6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3.0"/>
    <col customWidth="1" min="3" max="3" width="18.0"/>
    <col customWidth="1" min="4" max="4" width="16.0"/>
    <col customWidth="1" min="5" max="5" width="21.75"/>
    <col customWidth="1" min="6" max="6" width="14.0"/>
    <col customWidth="1" min="7" max="7" width="17.0"/>
    <col customWidth="1" min="8" max="8" width="18.0"/>
    <col customWidth="1" min="9" max="9" width="32.0"/>
    <col customWidth="1" min="10" max="10" width="17.0"/>
    <col customWidth="1" min="11" max="26" width="8.63"/>
  </cols>
  <sheetData>
    <row r="1" ht="13.5" customHeight="1">
      <c r="A1" s="9" t="s">
        <v>19</v>
      </c>
      <c r="B1" s="2"/>
      <c r="C1" s="2"/>
      <c r="D1" s="3"/>
      <c r="E1" s="4"/>
      <c r="F1" s="4"/>
      <c r="G1" s="4"/>
      <c r="H1" s="4"/>
      <c r="I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</row>
    <row r="3" ht="13.5" customHeight="1">
      <c r="A3" s="10" t="s">
        <v>20</v>
      </c>
      <c r="B3" s="10" t="s">
        <v>21</v>
      </c>
      <c r="C3" s="4"/>
      <c r="D3" s="4"/>
      <c r="E3" s="4"/>
      <c r="F3" s="4"/>
      <c r="G3" s="4"/>
      <c r="H3" s="4"/>
      <c r="I3" s="4"/>
    </row>
    <row r="4" ht="13.5" customHeight="1">
      <c r="A4" s="4" t="s">
        <v>22</v>
      </c>
      <c r="B4" s="11">
        <v>0.15</v>
      </c>
      <c r="C4" s="4"/>
      <c r="D4" s="4"/>
      <c r="E4" s="4"/>
      <c r="F4" s="4"/>
      <c r="G4" s="4"/>
      <c r="H4" s="4"/>
      <c r="I4" s="4"/>
    </row>
    <row r="5" ht="13.5" customHeight="1">
      <c r="A5" s="4" t="s">
        <v>23</v>
      </c>
      <c r="B5" s="11">
        <v>0.2</v>
      </c>
      <c r="C5" s="4"/>
      <c r="D5" s="4"/>
      <c r="E5" s="4"/>
      <c r="F5" s="4"/>
      <c r="G5" s="4"/>
      <c r="H5" s="4"/>
      <c r="I5" s="4"/>
    </row>
    <row r="6" ht="13.5" customHeight="1">
      <c r="A6" s="4" t="s">
        <v>24</v>
      </c>
      <c r="B6" s="11">
        <v>0.1</v>
      </c>
      <c r="C6" s="4"/>
      <c r="D6" s="4"/>
      <c r="E6" s="4"/>
      <c r="F6" s="4"/>
      <c r="G6" s="4"/>
      <c r="H6" s="4"/>
      <c r="I6" s="4"/>
    </row>
    <row r="7" ht="57.0" customHeight="1">
      <c r="A7" s="6" t="s">
        <v>25</v>
      </c>
      <c r="B7" s="12" t="s">
        <v>26</v>
      </c>
      <c r="D7" s="4"/>
      <c r="E7" s="4"/>
      <c r="F7" s="4"/>
      <c r="G7" s="4"/>
      <c r="H7" s="4"/>
      <c r="I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</row>
    <row r="9" ht="27.0" customHeight="1">
      <c r="A9" s="13" t="s">
        <v>27</v>
      </c>
      <c r="B9" s="13" t="s">
        <v>28</v>
      </c>
      <c r="C9" s="13" t="s">
        <v>29</v>
      </c>
      <c r="D9" s="13" t="s">
        <v>30</v>
      </c>
      <c r="E9" s="13" t="s">
        <v>31</v>
      </c>
      <c r="F9" s="13" t="s">
        <v>32</v>
      </c>
      <c r="G9" s="13" t="s">
        <v>33</v>
      </c>
      <c r="H9" s="13" t="s">
        <v>34</v>
      </c>
      <c r="I9" s="14" t="s">
        <v>35</v>
      </c>
      <c r="J9" s="15"/>
    </row>
    <row r="10" ht="16.5" customHeight="1">
      <c r="A10" s="79"/>
      <c r="B10" s="80">
        <v>46038.0</v>
      </c>
      <c r="C10" s="81">
        <v>35.0</v>
      </c>
      <c r="D10" s="82">
        <f t="shared" ref="D10:D47" si="1">IF(C10="","",C10*$B$4)</f>
        <v>5.25</v>
      </c>
      <c r="E10" s="82">
        <f t="shared" ref="E10:E47" si="2">IF(C10="","",C10*$B$5)</f>
        <v>7</v>
      </c>
      <c r="F10" s="83">
        <f t="shared" ref="F10:F47" si="3">IF(C10="","",C10*$B$6)</f>
        <v>3.5</v>
      </c>
      <c r="G10" s="83">
        <f t="shared" ref="G10:G47" si="4">IF(C10="","",SUM(D10:F10))</f>
        <v>15.75</v>
      </c>
      <c r="H10" s="83">
        <f t="shared" ref="H10:H47" si="5">IF(C10="","",C10-G10)</f>
        <v>19.25</v>
      </c>
      <c r="I10" s="84" t="s">
        <v>103</v>
      </c>
      <c r="J10" s="84" t="s">
        <v>104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6.5" customHeight="1">
      <c r="A11" s="86"/>
      <c r="B11" s="36">
        <v>46028.0</v>
      </c>
      <c r="C11" s="34">
        <v>40.0</v>
      </c>
      <c r="D11" s="22">
        <f t="shared" si="1"/>
        <v>6</v>
      </c>
      <c r="E11" s="22">
        <f t="shared" si="2"/>
        <v>8</v>
      </c>
      <c r="F11" s="23">
        <f t="shared" si="3"/>
        <v>4</v>
      </c>
      <c r="G11" s="23">
        <f t="shared" si="4"/>
        <v>18</v>
      </c>
      <c r="H11" s="23">
        <f t="shared" si="5"/>
        <v>22</v>
      </c>
      <c r="I11" s="35" t="s">
        <v>65</v>
      </c>
      <c r="J11" s="87" t="s">
        <v>105</v>
      </c>
    </row>
    <row r="12" ht="16.5" customHeight="1">
      <c r="A12" s="86"/>
      <c r="B12" s="36">
        <v>46028.0</v>
      </c>
      <c r="C12" s="34">
        <v>35.0</v>
      </c>
      <c r="D12" s="22">
        <f t="shared" si="1"/>
        <v>5.25</v>
      </c>
      <c r="E12" s="22">
        <f t="shared" si="2"/>
        <v>7</v>
      </c>
      <c r="F12" s="23">
        <f t="shared" si="3"/>
        <v>3.5</v>
      </c>
      <c r="G12" s="23">
        <f t="shared" si="4"/>
        <v>15.75</v>
      </c>
      <c r="H12" s="23">
        <f t="shared" si="5"/>
        <v>19.25</v>
      </c>
      <c r="I12" s="35" t="s">
        <v>106</v>
      </c>
      <c r="J12" s="88" t="s">
        <v>107</v>
      </c>
    </row>
    <row r="13" ht="16.5" customHeight="1">
      <c r="A13" s="86"/>
      <c r="B13" s="36">
        <v>46028.0</v>
      </c>
      <c r="C13" s="34">
        <v>35.0</v>
      </c>
      <c r="D13" s="22">
        <f t="shared" si="1"/>
        <v>5.25</v>
      </c>
      <c r="E13" s="22">
        <f t="shared" si="2"/>
        <v>7</v>
      </c>
      <c r="F13" s="23">
        <f t="shared" si="3"/>
        <v>3.5</v>
      </c>
      <c r="G13" s="23">
        <f t="shared" si="4"/>
        <v>15.75</v>
      </c>
      <c r="H13" s="23">
        <f t="shared" si="5"/>
        <v>19.25</v>
      </c>
      <c r="I13" s="35" t="s">
        <v>108</v>
      </c>
      <c r="J13" s="88" t="s">
        <v>107</v>
      </c>
    </row>
    <row r="14" ht="16.5" customHeight="1">
      <c r="A14" s="86"/>
      <c r="B14" s="36">
        <v>46028.0</v>
      </c>
      <c r="C14" s="34">
        <v>155.0</v>
      </c>
      <c r="D14" s="22">
        <f t="shared" si="1"/>
        <v>23.25</v>
      </c>
      <c r="E14" s="22">
        <f t="shared" si="2"/>
        <v>31</v>
      </c>
      <c r="F14" s="23">
        <f t="shared" si="3"/>
        <v>15.5</v>
      </c>
      <c r="G14" s="23">
        <f t="shared" si="4"/>
        <v>69.75</v>
      </c>
      <c r="H14" s="23">
        <f t="shared" si="5"/>
        <v>85.25</v>
      </c>
      <c r="I14" s="35" t="s">
        <v>109</v>
      </c>
      <c r="J14" s="88" t="s">
        <v>107</v>
      </c>
    </row>
    <row r="15" ht="16.5" customHeight="1">
      <c r="A15" s="86"/>
      <c r="B15" s="36">
        <v>46028.0</v>
      </c>
      <c r="C15" s="34">
        <v>200.0</v>
      </c>
      <c r="D15" s="22">
        <f t="shared" si="1"/>
        <v>30</v>
      </c>
      <c r="E15" s="22">
        <f t="shared" si="2"/>
        <v>40</v>
      </c>
      <c r="F15" s="23">
        <f t="shared" si="3"/>
        <v>20</v>
      </c>
      <c r="G15" s="23">
        <f t="shared" si="4"/>
        <v>90</v>
      </c>
      <c r="H15" s="23">
        <f t="shared" si="5"/>
        <v>110</v>
      </c>
      <c r="I15" s="35" t="s">
        <v>51</v>
      </c>
      <c r="J15" s="88" t="s">
        <v>107</v>
      </c>
    </row>
    <row r="16" ht="16.5" customHeight="1">
      <c r="A16" s="86"/>
      <c r="B16" s="36">
        <v>46028.0</v>
      </c>
      <c r="C16" s="34">
        <v>45.0</v>
      </c>
      <c r="D16" s="22">
        <f t="shared" si="1"/>
        <v>6.75</v>
      </c>
      <c r="E16" s="22">
        <f t="shared" si="2"/>
        <v>9</v>
      </c>
      <c r="F16" s="23">
        <f t="shared" si="3"/>
        <v>4.5</v>
      </c>
      <c r="G16" s="23">
        <f t="shared" si="4"/>
        <v>20.25</v>
      </c>
      <c r="H16" s="23">
        <f t="shared" si="5"/>
        <v>24.75</v>
      </c>
      <c r="I16" s="35" t="s">
        <v>110</v>
      </c>
      <c r="J16" s="88" t="s">
        <v>107</v>
      </c>
    </row>
    <row r="17" ht="16.5" customHeight="1">
      <c r="A17" s="86"/>
      <c r="B17" s="36">
        <v>46028.0</v>
      </c>
      <c r="C17" s="34">
        <v>45.0</v>
      </c>
      <c r="D17" s="22">
        <f t="shared" si="1"/>
        <v>6.75</v>
      </c>
      <c r="E17" s="22">
        <f t="shared" si="2"/>
        <v>9</v>
      </c>
      <c r="F17" s="23">
        <f t="shared" si="3"/>
        <v>4.5</v>
      </c>
      <c r="G17" s="23">
        <f t="shared" si="4"/>
        <v>20.25</v>
      </c>
      <c r="H17" s="23">
        <f t="shared" si="5"/>
        <v>24.75</v>
      </c>
      <c r="I17" s="35" t="s">
        <v>111</v>
      </c>
      <c r="J17" s="88" t="s">
        <v>107</v>
      </c>
    </row>
    <row r="18" ht="16.5" customHeight="1">
      <c r="A18" s="86"/>
      <c r="B18" s="36">
        <v>46028.0</v>
      </c>
      <c r="C18" s="34">
        <v>120.0</v>
      </c>
      <c r="D18" s="22">
        <f t="shared" si="1"/>
        <v>18</v>
      </c>
      <c r="E18" s="22">
        <f t="shared" si="2"/>
        <v>24</v>
      </c>
      <c r="F18" s="23">
        <f t="shared" si="3"/>
        <v>12</v>
      </c>
      <c r="G18" s="23">
        <f t="shared" si="4"/>
        <v>54</v>
      </c>
      <c r="H18" s="23">
        <f t="shared" si="5"/>
        <v>66</v>
      </c>
      <c r="I18" s="35" t="s">
        <v>55</v>
      </c>
      <c r="J18" s="87" t="s">
        <v>105</v>
      </c>
    </row>
    <row r="19" ht="16.5" customHeight="1">
      <c r="A19" s="86"/>
      <c r="B19" s="36">
        <v>46028.0</v>
      </c>
      <c r="C19" s="34">
        <v>100.0</v>
      </c>
      <c r="D19" s="22">
        <f t="shared" si="1"/>
        <v>15</v>
      </c>
      <c r="E19" s="22">
        <f t="shared" si="2"/>
        <v>20</v>
      </c>
      <c r="F19" s="23">
        <f t="shared" si="3"/>
        <v>10</v>
      </c>
      <c r="G19" s="23">
        <f t="shared" si="4"/>
        <v>45</v>
      </c>
      <c r="H19" s="23">
        <f t="shared" si="5"/>
        <v>55</v>
      </c>
      <c r="I19" s="35" t="s">
        <v>112</v>
      </c>
      <c r="J19" s="87" t="s">
        <v>105</v>
      </c>
    </row>
    <row r="20" ht="16.5" customHeight="1">
      <c r="A20" s="86"/>
      <c r="B20" s="36">
        <v>46028.0</v>
      </c>
      <c r="C20" s="34">
        <v>155.0</v>
      </c>
      <c r="D20" s="22">
        <f t="shared" si="1"/>
        <v>23.25</v>
      </c>
      <c r="E20" s="22">
        <f t="shared" si="2"/>
        <v>31</v>
      </c>
      <c r="F20" s="23">
        <f t="shared" si="3"/>
        <v>15.5</v>
      </c>
      <c r="G20" s="23">
        <f t="shared" si="4"/>
        <v>69.75</v>
      </c>
      <c r="H20" s="23">
        <f t="shared" si="5"/>
        <v>85.25</v>
      </c>
      <c r="I20" s="35" t="s">
        <v>113</v>
      </c>
      <c r="J20" s="87" t="s">
        <v>105</v>
      </c>
    </row>
    <row r="21" ht="16.5" customHeight="1">
      <c r="A21" s="86"/>
      <c r="B21" s="36">
        <v>46028.0</v>
      </c>
      <c r="C21" s="34">
        <v>80.0</v>
      </c>
      <c r="D21" s="22">
        <f t="shared" si="1"/>
        <v>12</v>
      </c>
      <c r="E21" s="22">
        <f t="shared" si="2"/>
        <v>16</v>
      </c>
      <c r="F21" s="23">
        <f t="shared" si="3"/>
        <v>8</v>
      </c>
      <c r="G21" s="23">
        <f t="shared" si="4"/>
        <v>36</v>
      </c>
      <c r="H21" s="23">
        <f t="shared" si="5"/>
        <v>44</v>
      </c>
      <c r="I21" s="35" t="s">
        <v>61</v>
      </c>
      <c r="J21" s="87" t="s">
        <v>105</v>
      </c>
    </row>
    <row r="22" ht="16.5" customHeight="1">
      <c r="A22" s="86"/>
      <c r="B22" s="36">
        <v>46028.0</v>
      </c>
      <c r="C22" s="34">
        <v>38.0</v>
      </c>
      <c r="D22" s="22">
        <f t="shared" si="1"/>
        <v>5.7</v>
      </c>
      <c r="E22" s="22">
        <f t="shared" si="2"/>
        <v>7.6</v>
      </c>
      <c r="F22" s="23">
        <f t="shared" si="3"/>
        <v>3.8</v>
      </c>
      <c r="G22" s="23">
        <f t="shared" si="4"/>
        <v>17.1</v>
      </c>
      <c r="H22" s="23">
        <f t="shared" si="5"/>
        <v>20.9</v>
      </c>
      <c r="I22" s="35" t="s">
        <v>70</v>
      </c>
      <c r="J22" s="87" t="s">
        <v>105</v>
      </c>
    </row>
    <row r="23" ht="16.5" customHeight="1">
      <c r="A23" s="86"/>
      <c r="B23" s="36">
        <v>46028.0</v>
      </c>
      <c r="C23" s="34">
        <v>35.0</v>
      </c>
      <c r="D23" s="22">
        <f t="shared" si="1"/>
        <v>5.25</v>
      </c>
      <c r="E23" s="22">
        <f t="shared" si="2"/>
        <v>7</v>
      </c>
      <c r="F23" s="23">
        <f t="shared" si="3"/>
        <v>3.5</v>
      </c>
      <c r="G23" s="23">
        <f t="shared" si="4"/>
        <v>15.75</v>
      </c>
      <c r="H23" s="23">
        <f t="shared" si="5"/>
        <v>19.25</v>
      </c>
      <c r="I23" s="35" t="s">
        <v>114</v>
      </c>
      <c r="J23" s="88" t="s">
        <v>107</v>
      </c>
    </row>
    <row r="24" ht="16.5" customHeight="1">
      <c r="A24" s="86"/>
      <c r="B24" s="36">
        <v>46028.0</v>
      </c>
      <c r="C24" s="34">
        <v>75.0</v>
      </c>
      <c r="D24" s="22">
        <f t="shared" si="1"/>
        <v>11.25</v>
      </c>
      <c r="E24" s="22">
        <f t="shared" si="2"/>
        <v>15</v>
      </c>
      <c r="F24" s="23">
        <f t="shared" si="3"/>
        <v>7.5</v>
      </c>
      <c r="G24" s="23">
        <f t="shared" si="4"/>
        <v>33.75</v>
      </c>
      <c r="H24" s="23">
        <f t="shared" si="5"/>
        <v>41.25</v>
      </c>
      <c r="I24" s="35" t="s">
        <v>78</v>
      </c>
      <c r="J24" s="87" t="s">
        <v>115</v>
      </c>
    </row>
    <row r="25" ht="16.5" customHeight="1">
      <c r="A25" s="86"/>
      <c r="B25" s="36">
        <v>46028.0</v>
      </c>
      <c r="C25" s="34">
        <v>80.0</v>
      </c>
      <c r="D25" s="22">
        <f t="shared" si="1"/>
        <v>12</v>
      </c>
      <c r="E25" s="22">
        <f t="shared" si="2"/>
        <v>16</v>
      </c>
      <c r="F25" s="23">
        <f t="shared" si="3"/>
        <v>8</v>
      </c>
      <c r="G25" s="23">
        <f t="shared" si="4"/>
        <v>36</v>
      </c>
      <c r="H25" s="23">
        <f t="shared" si="5"/>
        <v>44</v>
      </c>
      <c r="I25" s="35" t="s">
        <v>116</v>
      </c>
      <c r="J25" s="87" t="s">
        <v>115</v>
      </c>
    </row>
    <row r="26" ht="16.5" customHeight="1">
      <c r="A26" s="86"/>
      <c r="B26" s="36">
        <v>46028.0</v>
      </c>
      <c r="C26" s="34">
        <v>30.0</v>
      </c>
      <c r="D26" s="22">
        <f t="shared" si="1"/>
        <v>4.5</v>
      </c>
      <c r="E26" s="22">
        <f t="shared" si="2"/>
        <v>6</v>
      </c>
      <c r="F26" s="23">
        <f t="shared" si="3"/>
        <v>3</v>
      </c>
      <c r="G26" s="23">
        <f t="shared" si="4"/>
        <v>13.5</v>
      </c>
      <c r="H26" s="23">
        <f t="shared" si="5"/>
        <v>16.5</v>
      </c>
      <c r="I26" s="35" t="s">
        <v>69</v>
      </c>
      <c r="J26" s="87" t="s">
        <v>115</v>
      </c>
    </row>
    <row r="27" ht="16.5" customHeight="1">
      <c r="A27" s="86"/>
      <c r="B27" s="36">
        <v>46028.0</v>
      </c>
      <c r="C27" s="34">
        <v>40.0</v>
      </c>
      <c r="D27" s="22">
        <f t="shared" si="1"/>
        <v>6</v>
      </c>
      <c r="E27" s="22">
        <f t="shared" si="2"/>
        <v>8</v>
      </c>
      <c r="F27" s="23">
        <f t="shared" si="3"/>
        <v>4</v>
      </c>
      <c r="G27" s="23">
        <f t="shared" si="4"/>
        <v>18</v>
      </c>
      <c r="H27" s="23">
        <f t="shared" si="5"/>
        <v>22</v>
      </c>
      <c r="I27" s="35" t="s">
        <v>66</v>
      </c>
      <c r="J27" s="87" t="s">
        <v>115</v>
      </c>
    </row>
    <row r="28" ht="16.5" customHeight="1">
      <c r="A28" s="86"/>
      <c r="B28" s="36">
        <v>46028.0</v>
      </c>
      <c r="C28" s="34">
        <v>50.0</v>
      </c>
      <c r="D28" s="22">
        <f t="shared" si="1"/>
        <v>7.5</v>
      </c>
      <c r="E28" s="22">
        <f t="shared" si="2"/>
        <v>10</v>
      </c>
      <c r="F28" s="23">
        <f t="shared" si="3"/>
        <v>5</v>
      </c>
      <c r="G28" s="23">
        <f t="shared" si="4"/>
        <v>22.5</v>
      </c>
      <c r="H28" s="23">
        <f t="shared" si="5"/>
        <v>27.5</v>
      </c>
      <c r="I28" s="35" t="s">
        <v>117</v>
      </c>
      <c r="J28" s="87" t="s">
        <v>115</v>
      </c>
    </row>
    <row r="29" ht="16.5" customHeight="1">
      <c r="A29" s="86"/>
      <c r="B29" s="36">
        <v>46030.0</v>
      </c>
      <c r="C29" s="34">
        <v>35.0</v>
      </c>
      <c r="D29" s="22">
        <f t="shared" si="1"/>
        <v>5.25</v>
      </c>
      <c r="E29" s="22">
        <f t="shared" si="2"/>
        <v>7</v>
      </c>
      <c r="F29" s="23">
        <f t="shared" si="3"/>
        <v>3.5</v>
      </c>
      <c r="G29" s="23">
        <f t="shared" si="4"/>
        <v>15.75</v>
      </c>
      <c r="H29" s="23">
        <f t="shared" si="5"/>
        <v>19.25</v>
      </c>
      <c r="I29" s="35" t="s">
        <v>106</v>
      </c>
      <c r="J29" s="88" t="s">
        <v>107</v>
      </c>
    </row>
    <row r="30" ht="16.5" customHeight="1">
      <c r="A30" s="86"/>
      <c r="B30" s="36">
        <v>46030.0</v>
      </c>
      <c r="C30" s="34">
        <v>35.0</v>
      </c>
      <c r="D30" s="22">
        <f t="shared" si="1"/>
        <v>5.25</v>
      </c>
      <c r="E30" s="22">
        <f t="shared" si="2"/>
        <v>7</v>
      </c>
      <c r="F30" s="23">
        <f t="shared" si="3"/>
        <v>3.5</v>
      </c>
      <c r="G30" s="23">
        <f t="shared" si="4"/>
        <v>15.75</v>
      </c>
      <c r="H30" s="23">
        <f t="shared" si="5"/>
        <v>19.25</v>
      </c>
      <c r="I30" s="35" t="s">
        <v>118</v>
      </c>
      <c r="J30" s="88" t="s">
        <v>107</v>
      </c>
    </row>
    <row r="31" ht="16.5" customHeight="1">
      <c r="A31" s="86"/>
      <c r="B31" s="36">
        <v>46030.0</v>
      </c>
      <c r="C31" s="34">
        <v>45.0</v>
      </c>
      <c r="D31" s="22">
        <f t="shared" si="1"/>
        <v>6.75</v>
      </c>
      <c r="E31" s="22">
        <f t="shared" si="2"/>
        <v>9</v>
      </c>
      <c r="F31" s="23">
        <f t="shared" si="3"/>
        <v>4.5</v>
      </c>
      <c r="G31" s="23">
        <f t="shared" si="4"/>
        <v>20.25</v>
      </c>
      <c r="H31" s="23">
        <f t="shared" si="5"/>
        <v>24.75</v>
      </c>
      <c r="I31" s="35" t="s">
        <v>119</v>
      </c>
      <c r="J31" s="88" t="s">
        <v>107</v>
      </c>
    </row>
    <row r="32" ht="16.5" customHeight="1">
      <c r="A32" s="86"/>
      <c r="B32" s="36">
        <v>46030.0</v>
      </c>
      <c r="C32" s="34">
        <v>45.0</v>
      </c>
      <c r="D32" s="22">
        <f t="shared" si="1"/>
        <v>6.75</v>
      </c>
      <c r="E32" s="22">
        <f t="shared" si="2"/>
        <v>9</v>
      </c>
      <c r="F32" s="23">
        <f t="shared" si="3"/>
        <v>4.5</v>
      </c>
      <c r="G32" s="23">
        <f t="shared" si="4"/>
        <v>20.25</v>
      </c>
      <c r="H32" s="23">
        <f t="shared" si="5"/>
        <v>24.75</v>
      </c>
      <c r="I32" s="35" t="s">
        <v>120</v>
      </c>
      <c r="J32" s="88" t="s">
        <v>107</v>
      </c>
    </row>
    <row r="33" ht="16.5" customHeight="1">
      <c r="A33" s="86"/>
      <c r="B33" s="36">
        <v>46030.0</v>
      </c>
      <c r="C33" s="34">
        <v>40.0</v>
      </c>
      <c r="D33" s="22">
        <f t="shared" si="1"/>
        <v>6</v>
      </c>
      <c r="E33" s="22">
        <f t="shared" si="2"/>
        <v>8</v>
      </c>
      <c r="F33" s="23">
        <f t="shared" si="3"/>
        <v>4</v>
      </c>
      <c r="G33" s="23">
        <f t="shared" si="4"/>
        <v>18</v>
      </c>
      <c r="H33" s="23">
        <f t="shared" si="5"/>
        <v>22</v>
      </c>
      <c r="I33" s="35" t="s">
        <v>121</v>
      </c>
      <c r="J33" s="88" t="s">
        <v>107</v>
      </c>
    </row>
    <row r="34" ht="16.5" customHeight="1">
      <c r="A34" s="86"/>
      <c r="B34" s="36">
        <v>46034.0</v>
      </c>
      <c r="C34" s="34">
        <v>50.0</v>
      </c>
      <c r="D34" s="22">
        <f t="shared" si="1"/>
        <v>7.5</v>
      </c>
      <c r="E34" s="22">
        <f t="shared" si="2"/>
        <v>10</v>
      </c>
      <c r="F34" s="23">
        <f t="shared" si="3"/>
        <v>5</v>
      </c>
      <c r="G34" s="23">
        <f t="shared" si="4"/>
        <v>22.5</v>
      </c>
      <c r="H34" s="23">
        <f t="shared" si="5"/>
        <v>27.5</v>
      </c>
      <c r="I34" s="89" t="s">
        <v>41</v>
      </c>
      <c r="J34" s="87" t="s">
        <v>115</v>
      </c>
    </row>
    <row r="35" ht="16.5" customHeight="1">
      <c r="A35" s="86"/>
      <c r="B35" s="36">
        <v>46035.0</v>
      </c>
      <c r="C35" s="34">
        <v>50.0</v>
      </c>
      <c r="D35" s="22">
        <f t="shared" si="1"/>
        <v>7.5</v>
      </c>
      <c r="E35" s="22">
        <f t="shared" si="2"/>
        <v>10</v>
      </c>
      <c r="F35" s="23">
        <f t="shared" si="3"/>
        <v>5</v>
      </c>
      <c r="G35" s="23">
        <f t="shared" si="4"/>
        <v>22.5</v>
      </c>
      <c r="H35" s="23">
        <f t="shared" si="5"/>
        <v>27.5</v>
      </c>
      <c r="I35" s="89" t="s">
        <v>78</v>
      </c>
      <c r="J35" s="87" t="s">
        <v>115</v>
      </c>
    </row>
    <row r="36" ht="16.5" customHeight="1">
      <c r="A36" s="86"/>
      <c r="B36" s="36">
        <v>46036.0</v>
      </c>
      <c r="C36" s="34">
        <v>35.0</v>
      </c>
      <c r="D36" s="22">
        <f t="shared" si="1"/>
        <v>5.25</v>
      </c>
      <c r="E36" s="22">
        <f t="shared" si="2"/>
        <v>7</v>
      </c>
      <c r="F36" s="23">
        <f t="shared" si="3"/>
        <v>3.5</v>
      </c>
      <c r="G36" s="23">
        <f t="shared" si="4"/>
        <v>15.75</v>
      </c>
      <c r="H36" s="23">
        <f t="shared" si="5"/>
        <v>19.25</v>
      </c>
      <c r="I36" s="89" t="s">
        <v>122</v>
      </c>
      <c r="J36" s="37" t="s">
        <v>104</v>
      </c>
    </row>
    <row r="37" ht="16.5" customHeight="1">
      <c r="A37" s="86"/>
      <c r="B37" s="36">
        <v>46037.0</v>
      </c>
      <c r="C37" s="34">
        <v>35.0</v>
      </c>
      <c r="D37" s="22">
        <f t="shared" si="1"/>
        <v>5.25</v>
      </c>
      <c r="E37" s="22">
        <f t="shared" si="2"/>
        <v>7</v>
      </c>
      <c r="F37" s="23">
        <f t="shared" si="3"/>
        <v>3.5</v>
      </c>
      <c r="G37" s="23">
        <f t="shared" si="4"/>
        <v>15.75</v>
      </c>
      <c r="H37" s="23">
        <f t="shared" si="5"/>
        <v>19.25</v>
      </c>
      <c r="I37" s="37" t="s">
        <v>106</v>
      </c>
      <c r="J37" s="37" t="s">
        <v>104</v>
      </c>
    </row>
    <row r="38" ht="16.5" customHeight="1">
      <c r="A38" s="86"/>
      <c r="B38" s="80">
        <v>46038.0</v>
      </c>
      <c r="C38" s="81">
        <v>45.0</v>
      </c>
      <c r="D38" s="82">
        <f t="shared" si="1"/>
        <v>6.75</v>
      </c>
      <c r="E38" s="82">
        <f t="shared" si="2"/>
        <v>9</v>
      </c>
      <c r="F38" s="83">
        <f t="shared" si="3"/>
        <v>4.5</v>
      </c>
      <c r="G38" s="83">
        <f t="shared" si="4"/>
        <v>20.25</v>
      </c>
      <c r="H38" s="83">
        <f t="shared" si="5"/>
        <v>24.75</v>
      </c>
      <c r="I38" s="37" t="s">
        <v>111</v>
      </c>
      <c r="J38" s="37" t="s">
        <v>104</v>
      </c>
    </row>
    <row r="39" ht="16.5" customHeight="1">
      <c r="A39" s="86"/>
      <c r="B39" s="80">
        <v>46038.0</v>
      </c>
      <c r="C39" s="81">
        <v>40.0</v>
      </c>
      <c r="D39" s="82">
        <f t="shared" si="1"/>
        <v>6</v>
      </c>
      <c r="E39" s="82">
        <f t="shared" si="2"/>
        <v>8</v>
      </c>
      <c r="F39" s="83">
        <f t="shared" si="3"/>
        <v>4</v>
      </c>
      <c r="G39" s="83">
        <f t="shared" si="4"/>
        <v>18</v>
      </c>
      <c r="H39" s="83">
        <f t="shared" si="5"/>
        <v>22</v>
      </c>
      <c r="I39" s="37" t="s">
        <v>68</v>
      </c>
      <c r="J39" s="37" t="s">
        <v>115</v>
      </c>
    </row>
    <row r="40" ht="16.5" customHeight="1">
      <c r="A40" s="86"/>
      <c r="B40" s="80">
        <v>46038.0</v>
      </c>
      <c r="C40" s="81">
        <v>35.0</v>
      </c>
      <c r="D40" s="82">
        <f t="shared" si="1"/>
        <v>5.25</v>
      </c>
      <c r="E40" s="82">
        <f t="shared" si="2"/>
        <v>7</v>
      </c>
      <c r="F40" s="83">
        <f t="shared" si="3"/>
        <v>3.5</v>
      </c>
      <c r="G40" s="83">
        <f t="shared" si="4"/>
        <v>15.75</v>
      </c>
      <c r="H40" s="83">
        <f t="shared" si="5"/>
        <v>19.25</v>
      </c>
      <c r="I40" s="37" t="s">
        <v>103</v>
      </c>
      <c r="J40" s="37" t="s">
        <v>104</v>
      </c>
    </row>
    <row r="41" ht="16.5" customHeight="1">
      <c r="A41" s="86"/>
      <c r="B41" s="80">
        <v>46038.0</v>
      </c>
      <c r="C41" s="81">
        <v>35.0</v>
      </c>
      <c r="D41" s="82">
        <f t="shared" si="1"/>
        <v>5.25</v>
      </c>
      <c r="E41" s="82">
        <f t="shared" si="2"/>
        <v>7</v>
      </c>
      <c r="F41" s="83">
        <f t="shared" si="3"/>
        <v>3.5</v>
      </c>
      <c r="G41" s="83">
        <f t="shared" si="4"/>
        <v>15.75</v>
      </c>
      <c r="H41" s="83">
        <f t="shared" si="5"/>
        <v>19.25</v>
      </c>
      <c r="I41" s="37" t="s">
        <v>123</v>
      </c>
      <c r="J41" s="37" t="s">
        <v>104</v>
      </c>
    </row>
    <row r="42" ht="16.5" customHeight="1">
      <c r="A42" s="86"/>
      <c r="B42" s="36">
        <v>46038.0</v>
      </c>
      <c r="C42" s="34">
        <v>45.0</v>
      </c>
      <c r="D42" s="22">
        <f t="shared" si="1"/>
        <v>6.75</v>
      </c>
      <c r="E42" s="22">
        <f t="shared" si="2"/>
        <v>9</v>
      </c>
      <c r="F42" s="23">
        <f t="shared" si="3"/>
        <v>4.5</v>
      </c>
      <c r="G42" s="23">
        <f t="shared" si="4"/>
        <v>20.25</v>
      </c>
      <c r="H42" s="23">
        <f t="shared" si="5"/>
        <v>24.75</v>
      </c>
      <c r="I42" s="37" t="s">
        <v>124</v>
      </c>
      <c r="J42" s="37" t="s">
        <v>104</v>
      </c>
    </row>
    <row r="43" ht="16.5" customHeight="1">
      <c r="A43" s="86"/>
      <c r="B43" s="36">
        <v>46039.0</v>
      </c>
      <c r="C43" s="34">
        <v>50.0</v>
      </c>
      <c r="D43" s="22">
        <f t="shared" si="1"/>
        <v>7.5</v>
      </c>
      <c r="E43" s="22">
        <f t="shared" si="2"/>
        <v>10</v>
      </c>
      <c r="F43" s="23">
        <f t="shared" si="3"/>
        <v>5</v>
      </c>
      <c r="G43" s="23">
        <f t="shared" si="4"/>
        <v>22.5</v>
      </c>
      <c r="H43" s="23">
        <f t="shared" si="5"/>
        <v>27.5</v>
      </c>
      <c r="I43" s="37" t="s">
        <v>125</v>
      </c>
      <c r="J43" s="37" t="s">
        <v>126</v>
      </c>
    </row>
    <row r="44" ht="16.5" customHeight="1">
      <c r="A44" s="86"/>
      <c r="B44" s="36">
        <v>46040.0</v>
      </c>
      <c r="C44" s="34">
        <v>40.0</v>
      </c>
      <c r="D44" s="22">
        <f t="shared" si="1"/>
        <v>6</v>
      </c>
      <c r="E44" s="22">
        <f t="shared" si="2"/>
        <v>8</v>
      </c>
      <c r="F44" s="23">
        <f t="shared" si="3"/>
        <v>4</v>
      </c>
      <c r="G44" s="23">
        <f t="shared" si="4"/>
        <v>18</v>
      </c>
      <c r="H44" s="23">
        <f t="shared" si="5"/>
        <v>22</v>
      </c>
      <c r="I44" s="37" t="s">
        <v>66</v>
      </c>
      <c r="J44" s="37" t="s">
        <v>115</v>
      </c>
    </row>
    <row r="45" ht="16.5" customHeight="1">
      <c r="A45" s="86"/>
      <c r="B45" s="36">
        <v>46041.0</v>
      </c>
      <c r="C45" s="34">
        <v>35.0</v>
      </c>
      <c r="D45" s="22">
        <f t="shared" si="1"/>
        <v>5.25</v>
      </c>
      <c r="E45" s="22">
        <f t="shared" si="2"/>
        <v>7</v>
      </c>
      <c r="F45" s="23">
        <f t="shared" si="3"/>
        <v>3.5</v>
      </c>
      <c r="G45" s="23">
        <f t="shared" si="4"/>
        <v>15.75</v>
      </c>
      <c r="H45" s="23">
        <f t="shared" si="5"/>
        <v>19.25</v>
      </c>
      <c r="I45" s="37" t="s">
        <v>114</v>
      </c>
      <c r="J45" s="37" t="s">
        <v>104</v>
      </c>
    </row>
    <row r="46" ht="16.5" customHeight="1">
      <c r="A46" s="86"/>
      <c r="B46" s="36">
        <v>46042.0</v>
      </c>
      <c r="C46" s="34">
        <v>50.0</v>
      </c>
      <c r="D46" s="22">
        <f t="shared" si="1"/>
        <v>7.5</v>
      </c>
      <c r="E46" s="22">
        <f t="shared" si="2"/>
        <v>10</v>
      </c>
      <c r="F46" s="23">
        <f t="shared" si="3"/>
        <v>5</v>
      </c>
      <c r="G46" s="23">
        <f t="shared" si="4"/>
        <v>22.5</v>
      </c>
      <c r="H46" s="23">
        <f t="shared" si="5"/>
        <v>27.5</v>
      </c>
      <c r="I46" s="37" t="s">
        <v>127</v>
      </c>
      <c r="J46" s="37" t="s">
        <v>115</v>
      </c>
    </row>
    <row r="47" ht="16.5" customHeight="1">
      <c r="A47" s="86"/>
      <c r="B47" s="36">
        <v>46043.0</v>
      </c>
      <c r="C47" s="34">
        <v>35.0</v>
      </c>
      <c r="D47" s="22">
        <f t="shared" si="1"/>
        <v>5.25</v>
      </c>
      <c r="E47" s="22">
        <f t="shared" si="2"/>
        <v>7</v>
      </c>
      <c r="F47" s="23">
        <f t="shared" si="3"/>
        <v>3.5</v>
      </c>
      <c r="G47" s="23">
        <f t="shared" si="4"/>
        <v>15.75</v>
      </c>
      <c r="H47" s="23">
        <f t="shared" si="5"/>
        <v>19.25</v>
      </c>
      <c r="I47" s="37" t="s">
        <v>128</v>
      </c>
      <c r="J47" s="37" t="s">
        <v>104</v>
      </c>
    </row>
    <row r="48" ht="16.5" customHeight="1">
      <c r="A48" s="28" t="s">
        <v>52</v>
      </c>
      <c r="B48" s="15"/>
      <c r="C48" s="29">
        <f>SUM(C10:C33)</f>
        <v>1593</v>
      </c>
      <c r="D48" s="21">
        <f>SUM(D10:D47)</f>
        <v>325.95</v>
      </c>
      <c r="E48" s="29">
        <f t="shared" ref="E48:G48" si="6">SUM(E10:E33)</f>
        <v>318.6</v>
      </c>
      <c r="F48" s="90">
        <f t="shared" si="6"/>
        <v>159.3</v>
      </c>
      <c r="G48" s="29">
        <f t="shared" si="6"/>
        <v>716.85</v>
      </c>
      <c r="H48" s="91">
        <f>SUM(H10:H47)</f>
        <v>1195.15</v>
      </c>
      <c r="I48" s="30" t="s">
        <v>52</v>
      </c>
      <c r="J48" s="31"/>
    </row>
    <row r="49" ht="16.5" customHeight="1">
      <c r="A49" s="92" t="s">
        <v>129</v>
      </c>
      <c r="B49" s="36">
        <v>46045.0</v>
      </c>
      <c r="C49" s="34">
        <v>35.0</v>
      </c>
      <c r="D49" s="22">
        <f t="shared" ref="D49:D81" si="7">IF(C49="","",C49*$B$4)</f>
        <v>5.25</v>
      </c>
      <c r="E49" s="22">
        <f t="shared" ref="E49:E81" si="8">IF(C49="","",C49*$B$5)</f>
        <v>7</v>
      </c>
      <c r="F49" s="23">
        <f t="shared" ref="F49:F81" si="9">IF(C49="","",C49*$B$6)</f>
        <v>3.5</v>
      </c>
      <c r="G49" s="23">
        <f t="shared" ref="G49:G81" si="10">IF(C49="","",SUM(D49:F49))</f>
        <v>15.75</v>
      </c>
      <c r="H49" s="23">
        <f t="shared" ref="H49:H81" si="11">IF(C49="","",C49-G49)</f>
        <v>19.25</v>
      </c>
      <c r="I49" s="37" t="s">
        <v>130</v>
      </c>
      <c r="J49" s="37" t="s">
        <v>104</v>
      </c>
    </row>
    <row r="50" ht="16.5" customHeight="1">
      <c r="A50" s="20"/>
      <c r="B50" s="36">
        <v>46045.0</v>
      </c>
      <c r="C50" s="34">
        <v>80.0</v>
      </c>
      <c r="D50" s="22">
        <f t="shared" si="7"/>
        <v>12</v>
      </c>
      <c r="E50" s="22">
        <f t="shared" si="8"/>
        <v>16</v>
      </c>
      <c r="F50" s="23">
        <f t="shared" si="9"/>
        <v>8</v>
      </c>
      <c r="G50" s="23">
        <f t="shared" si="10"/>
        <v>36</v>
      </c>
      <c r="H50" s="23">
        <f t="shared" si="11"/>
        <v>44</v>
      </c>
      <c r="I50" s="37" t="s">
        <v>60</v>
      </c>
      <c r="J50" s="37" t="s">
        <v>115</v>
      </c>
    </row>
    <row r="51" ht="16.5" customHeight="1">
      <c r="A51" s="20"/>
      <c r="B51" s="36">
        <v>46045.0</v>
      </c>
      <c r="C51" s="34">
        <v>35.0</v>
      </c>
      <c r="D51" s="22">
        <f t="shared" si="7"/>
        <v>5.25</v>
      </c>
      <c r="E51" s="22">
        <f t="shared" si="8"/>
        <v>7</v>
      </c>
      <c r="F51" s="23">
        <f t="shared" si="9"/>
        <v>3.5</v>
      </c>
      <c r="G51" s="23">
        <f t="shared" si="10"/>
        <v>15.75</v>
      </c>
      <c r="H51" s="23">
        <f t="shared" si="11"/>
        <v>19.25</v>
      </c>
      <c r="I51" s="37" t="s">
        <v>106</v>
      </c>
      <c r="J51" s="37" t="s">
        <v>104</v>
      </c>
    </row>
    <row r="52" ht="16.5" customHeight="1">
      <c r="A52" s="20"/>
      <c r="B52" s="36">
        <v>46195.0</v>
      </c>
      <c r="C52" s="34">
        <v>45.0</v>
      </c>
      <c r="D52" s="93">
        <f t="shared" si="7"/>
        <v>6.75</v>
      </c>
      <c r="E52" s="23">
        <f t="shared" si="8"/>
        <v>9</v>
      </c>
      <c r="F52" s="23">
        <f t="shared" si="9"/>
        <v>4.5</v>
      </c>
      <c r="G52" s="23">
        <f t="shared" si="10"/>
        <v>20.25</v>
      </c>
      <c r="H52" s="23">
        <f t="shared" si="11"/>
        <v>24.75</v>
      </c>
      <c r="I52" s="35" t="s">
        <v>131</v>
      </c>
      <c r="J52" s="37" t="s">
        <v>104</v>
      </c>
    </row>
    <row r="53" ht="16.5" customHeight="1">
      <c r="A53" s="20"/>
      <c r="B53" s="36">
        <v>46195.0</v>
      </c>
      <c r="C53" s="34">
        <v>45.0</v>
      </c>
      <c r="D53" s="93">
        <f t="shared" si="7"/>
        <v>6.75</v>
      </c>
      <c r="E53" s="23">
        <f t="shared" si="8"/>
        <v>9</v>
      </c>
      <c r="F53" s="23">
        <f t="shared" si="9"/>
        <v>4.5</v>
      </c>
      <c r="G53" s="23">
        <f t="shared" si="10"/>
        <v>20.25</v>
      </c>
      <c r="H53" s="23">
        <f t="shared" si="11"/>
        <v>24.75</v>
      </c>
      <c r="I53" s="35" t="s">
        <v>119</v>
      </c>
      <c r="J53" s="37" t="s">
        <v>104</v>
      </c>
    </row>
    <row r="54" ht="16.5" customHeight="1">
      <c r="A54" s="20"/>
      <c r="B54" s="36">
        <v>46195.0</v>
      </c>
      <c r="C54" s="34">
        <v>160.0</v>
      </c>
      <c r="D54" s="93">
        <f t="shared" si="7"/>
        <v>24</v>
      </c>
      <c r="E54" s="23">
        <f t="shared" si="8"/>
        <v>32</v>
      </c>
      <c r="F54" s="23">
        <f t="shared" si="9"/>
        <v>16</v>
      </c>
      <c r="G54" s="23">
        <f t="shared" si="10"/>
        <v>72</v>
      </c>
      <c r="H54" s="23">
        <f t="shared" si="11"/>
        <v>88</v>
      </c>
      <c r="I54" s="35" t="s">
        <v>132</v>
      </c>
      <c r="J54" s="37" t="s">
        <v>104</v>
      </c>
    </row>
    <row r="55" ht="16.5" customHeight="1">
      <c r="A55" s="20"/>
      <c r="B55" s="36">
        <v>46195.0</v>
      </c>
      <c r="C55" s="34">
        <v>50.0</v>
      </c>
      <c r="D55" s="93">
        <f t="shared" si="7"/>
        <v>7.5</v>
      </c>
      <c r="E55" s="23">
        <f t="shared" si="8"/>
        <v>10</v>
      </c>
      <c r="F55" s="23">
        <f t="shared" si="9"/>
        <v>5</v>
      </c>
      <c r="G55" s="23">
        <f t="shared" si="10"/>
        <v>22.5</v>
      </c>
      <c r="H55" s="23">
        <f t="shared" si="11"/>
        <v>27.5</v>
      </c>
      <c r="I55" s="35" t="s">
        <v>78</v>
      </c>
      <c r="J55" s="37" t="s">
        <v>115</v>
      </c>
    </row>
    <row r="56" ht="16.5" customHeight="1">
      <c r="A56" s="20"/>
      <c r="B56" s="36">
        <v>46195.0</v>
      </c>
      <c r="C56" s="34">
        <v>75.0</v>
      </c>
      <c r="D56" s="93">
        <f t="shared" si="7"/>
        <v>11.25</v>
      </c>
      <c r="E56" s="23">
        <f t="shared" si="8"/>
        <v>15</v>
      </c>
      <c r="F56" s="23">
        <f t="shared" si="9"/>
        <v>7.5</v>
      </c>
      <c r="G56" s="23">
        <f t="shared" si="10"/>
        <v>33.75</v>
      </c>
      <c r="H56" s="23">
        <f t="shared" si="11"/>
        <v>41.25</v>
      </c>
      <c r="I56" s="35" t="s">
        <v>133</v>
      </c>
      <c r="J56" s="37" t="s">
        <v>115</v>
      </c>
    </row>
    <row r="57" ht="16.5" customHeight="1">
      <c r="A57" s="20"/>
      <c r="B57" s="36">
        <v>46195.0</v>
      </c>
      <c r="C57" s="34">
        <v>25.0</v>
      </c>
      <c r="D57" s="93">
        <f t="shared" si="7"/>
        <v>3.75</v>
      </c>
      <c r="E57" s="23">
        <f t="shared" si="8"/>
        <v>5</v>
      </c>
      <c r="F57" s="23">
        <f t="shared" si="9"/>
        <v>2.5</v>
      </c>
      <c r="G57" s="23">
        <f t="shared" si="10"/>
        <v>11.25</v>
      </c>
      <c r="H57" s="23">
        <f t="shared" si="11"/>
        <v>13.75</v>
      </c>
      <c r="I57" s="35" t="s">
        <v>134</v>
      </c>
      <c r="J57" s="37" t="s">
        <v>115</v>
      </c>
    </row>
    <row r="58" ht="16.5" customHeight="1">
      <c r="A58" s="20"/>
      <c r="B58" s="36">
        <v>46195.0</v>
      </c>
      <c r="C58" s="34">
        <v>25.0</v>
      </c>
      <c r="D58" s="93">
        <f t="shared" si="7"/>
        <v>3.75</v>
      </c>
      <c r="E58" s="23">
        <f t="shared" si="8"/>
        <v>5</v>
      </c>
      <c r="F58" s="23">
        <f t="shared" si="9"/>
        <v>2.5</v>
      </c>
      <c r="G58" s="23">
        <f t="shared" si="10"/>
        <v>11.25</v>
      </c>
      <c r="H58" s="23">
        <f t="shared" si="11"/>
        <v>13.75</v>
      </c>
      <c r="I58" s="35" t="s">
        <v>135</v>
      </c>
      <c r="J58" s="37" t="s">
        <v>115</v>
      </c>
    </row>
    <row r="59" ht="16.5" customHeight="1">
      <c r="A59" s="20"/>
      <c r="B59" s="36">
        <v>46195.0</v>
      </c>
      <c r="C59" s="34">
        <v>127.5</v>
      </c>
      <c r="D59" s="93">
        <f t="shared" si="7"/>
        <v>19.125</v>
      </c>
      <c r="E59" s="23">
        <f t="shared" si="8"/>
        <v>25.5</v>
      </c>
      <c r="F59" s="23">
        <f t="shared" si="9"/>
        <v>12.75</v>
      </c>
      <c r="G59" s="23">
        <f t="shared" si="10"/>
        <v>57.375</v>
      </c>
      <c r="H59" s="23">
        <f t="shared" si="11"/>
        <v>70.125</v>
      </c>
      <c r="I59" s="38" t="s">
        <v>136</v>
      </c>
      <c r="J59" s="37" t="s">
        <v>115</v>
      </c>
    </row>
    <row r="60" ht="16.5" customHeight="1">
      <c r="A60" s="20"/>
      <c r="B60" s="36">
        <v>46195.0</v>
      </c>
      <c r="C60" s="34">
        <v>75.0</v>
      </c>
      <c r="D60" s="93">
        <f t="shared" si="7"/>
        <v>11.25</v>
      </c>
      <c r="E60" s="23">
        <f t="shared" si="8"/>
        <v>15</v>
      </c>
      <c r="F60" s="23">
        <f t="shared" si="9"/>
        <v>7.5</v>
      </c>
      <c r="G60" s="23">
        <f t="shared" si="10"/>
        <v>33.75</v>
      </c>
      <c r="H60" s="40">
        <f t="shared" si="11"/>
        <v>41.25</v>
      </c>
      <c r="I60" s="41" t="s">
        <v>137</v>
      </c>
      <c r="J60" s="37" t="s">
        <v>115</v>
      </c>
    </row>
    <row r="61" ht="13.5" customHeight="1">
      <c r="A61" s="20"/>
      <c r="B61" s="36">
        <v>46196.0</v>
      </c>
      <c r="C61" s="34">
        <v>40.0</v>
      </c>
      <c r="D61" s="93">
        <f t="shared" si="7"/>
        <v>6</v>
      </c>
      <c r="E61" s="23">
        <f t="shared" si="8"/>
        <v>8</v>
      </c>
      <c r="F61" s="23">
        <f t="shared" si="9"/>
        <v>4</v>
      </c>
      <c r="G61" s="23">
        <f t="shared" si="10"/>
        <v>18</v>
      </c>
      <c r="H61" s="40">
        <f t="shared" si="11"/>
        <v>22</v>
      </c>
      <c r="I61" s="43" t="s">
        <v>74</v>
      </c>
      <c r="J61" s="37" t="s">
        <v>115</v>
      </c>
    </row>
    <row r="62" ht="13.5" customHeight="1">
      <c r="A62" s="20"/>
      <c r="B62" s="36">
        <v>46197.0</v>
      </c>
      <c r="C62" s="34">
        <v>75.0</v>
      </c>
      <c r="D62" s="93">
        <f t="shared" si="7"/>
        <v>11.25</v>
      </c>
      <c r="E62" s="23">
        <f t="shared" si="8"/>
        <v>15</v>
      </c>
      <c r="F62" s="23">
        <f t="shared" si="9"/>
        <v>7.5</v>
      </c>
      <c r="G62" s="23">
        <f t="shared" si="10"/>
        <v>33.75</v>
      </c>
      <c r="H62" s="40">
        <f t="shared" si="11"/>
        <v>41.25</v>
      </c>
      <c r="I62" s="43" t="s">
        <v>138</v>
      </c>
      <c r="J62" s="94" t="s">
        <v>104</v>
      </c>
    </row>
    <row r="63" ht="13.5" customHeight="1">
      <c r="A63" s="20"/>
      <c r="B63" s="36">
        <v>46198.0</v>
      </c>
      <c r="C63" s="34">
        <v>40.0</v>
      </c>
      <c r="D63" s="93">
        <f t="shared" si="7"/>
        <v>6</v>
      </c>
      <c r="E63" s="23">
        <f t="shared" si="8"/>
        <v>8</v>
      </c>
      <c r="F63" s="23">
        <f t="shared" si="9"/>
        <v>4</v>
      </c>
      <c r="G63" s="23">
        <f t="shared" si="10"/>
        <v>18</v>
      </c>
      <c r="H63" s="40">
        <f t="shared" si="11"/>
        <v>22</v>
      </c>
      <c r="I63" s="43" t="s">
        <v>132</v>
      </c>
      <c r="J63" s="94" t="s">
        <v>104</v>
      </c>
    </row>
    <row r="64" ht="13.5" customHeight="1">
      <c r="A64" s="20"/>
      <c r="B64" s="36">
        <v>46199.0</v>
      </c>
      <c r="C64" s="34">
        <v>45.0</v>
      </c>
      <c r="D64" s="93">
        <f t="shared" si="7"/>
        <v>6.75</v>
      </c>
      <c r="E64" s="23">
        <f t="shared" si="8"/>
        <v>9</v>
      </c>
      <c r="F64" s="23">
        <f t="shared" si="9"/>
        <v>4.5</v>
      </c>
      <c r="G64" s="23">
        <f t="shared" si="10"/>
        <v>20.25</v>
      </c>
      <c r="H64" s="40">
        <f t="shared" si="11"/>
        <v>24.75</v>
      </c>
      <c r="I64" s="45" t="s">
        <v>111</v>
      </c>
      <c r="J64" s="94" t="s">
        <v>104</v>
      </c>
    </row>
    <row r="65" ht="13.5" customHeight="1">
      <c r="A65" s="20"/>
      <c r="B65" s="36">
        <v>46200.0</v>
      </c>
      <c r="C65" s="34">
        <v>35.0</v>
      </c>
      <c r="D65" s="93">
        <f t="shared" si="7"/>
        <v>5.25</v>
      </c>
      <c r="E65" s="23">
        <f t="shared" si="8"/>
        <v>7</v>
      </c>
      <c r="F65" s="23">
        <f t="shared" si="9"/>
        <v>3.5</v>
      </c>
      <c r="G65" s="23">
        <f t="shared" si="10"/>
        <v>15.75</v>
      </c>
      <c r="H65" s="40">
        <f t="shared" si="11"/>
        <v>19.25</v>
      </c>
      <c r="I65" s="46" t="s">
        <v>108</v>
      </c>
      <c r="J65" s="94" t="s">
        <v>104</v>
      </c>
    </row>
    <row r="66" ht="13.5" customHeight="1">
      <c r="A66" s="20"/>
      <c r="B66" s="36">
        <v>46201.0</v>
      </c>
      <c r="C66" s="34">
        <v>20.0</v>
      </c>
      <c r="D66" s="93">
        <f t="shared" si="7"/>
        <v>3</v>
      </c>
      <c r="E66" s="23">
        <f t="shared" si="8"/>
        <v>4</v>
      </c>
      <c r="F66" s="23">
        <f t="shared" si="9"/>
        <v>2</v>
      </c>
      <c r="G66" s="23">
        <f t="shared" si="10"/>
        <v>9</v>
      </c>
      <c r="H66" s="40">
        <f t="shared" si="11"/>
        <v>11</v>
      </c>
      <c r="I66" s="46" t="s">
        <v>83</v>
      </c>
      <c r="J66" s="95" t="s">
        <v>115</v>
      </c>
    </row>
    <row r="67" ht="13.5" customHeight="1">
      <c r="A67" s="20"/>
      <c r="B67" s="36">
        <v>46202.0</v>
      </c>
      <c r="C67" s="34">
        <v>220.0</v>
      </c>
      <c r="D67" s="93">
        <f t="shared" si="7"/>
        <v>33</v>
      </c>
      <c r="E67" s="23">
        <f t="shared" si="8"/>
        <v>44</v>
      </c>
      <c r="F67" s="23">
        <f t="shared" si="9"/>
        <v>22</v>
      </c>
      <c r="G67" s="23">
        <f t="shared" si="10"/>
        <v>99</v>
      </c>
      <c r="H67" s="40">
        <f t="shared" si="11"/>
        <v>121</v>
      </c>
      <c r="I67" s="48" t="s">
        <v>51</v>
      </c>
      <c r="J67" s="95" t="s">
        <v>115</v>
      </c>
    </row>
    <row r="68" ht="13.5" customHeight="1">
      <c r="A68" s="20"/>
      <c r="B68" s="36">
        <v>46203.0</v>
      </c>
      <c r="C68" s="34">
        <v>25.0</v>
      </c>
      <c r="D68" s="93">
        <f t="shared" si="7"/>
        <v>3.75</v>
      </c>
      <c r="E68" s="23">
        <f t="shared" si="8"/>
        <v>5</v>
      </c>
      <c r="F68" s="23">
        <f t="shared" si="9"/>
        <v>2.5</v>
      </c>
      <c r="G68" s="23">
        <f t="shared" si="10"/>
        <v>11.25</v>
      </c>
      <c r="H68" s="40">
        <f t="shared" si="11"/>
        <v>13.75</v>
      </c>
      <c r="I68" s="46" t="s">
        <v>134</v>
      </c>
      <c r="J68" s="95" t="s">
        <v>115</v>
      </c>
    </row>
    <row r="69" ht="13.5" customHeight="1">
      <c r="A69" s="20"/>
      <c r="B69" s="36">
        <v>46161.0</v>
      </c>
      <c r="C69" s="34">
        <v>52.5</v>
      </c>
      <c r="D69" s="93">
        <f t="shared" si="7"/>
        <v>7.875</v>
      </c>
      <c r="E69" s="23">
        <f t="shared" si="8"/>
        <v>10.5</v>
      </c>
      <c r="F69" s="23">
        <f t="shared" si="9"/>
        <v>5.25</v>
      </c>
      <c r="G69" s="23">
        <f t="shared" si="10"/>
        <v>23.625</v>
      </c>
      <c r="H69" s="40">
        <f t="shared" si="11"/>
        <v>28.875</v>
      </c>
      <c r="I69" s="46" t="s">
        <v>136</v>
      </c>
      <c r="J69" s="95" t="s">
        <v>115</v>
      </c>
    </row>
    <row r="70" ht="13.5" customHeight="1">
      <c r="A70" s="20"/>
      <c r="B70" s="36">
        <v>46161.0</v>
      </c>
      <c r="C70" s="34">
        <v>40.0</v>
      </c>
      <c r="D70" s="93">
        <f t="shared" si="7"/>
        <v>6</v>
      </c>
      <c r="E70" s="23">
        <f t="shared" si="8"/>
        <v>8</v>
      </c>
      <c r="F70" s="23">
        <f t="shared" si="9"/>
        <v>4</v>
      </c>
      <c r="G70" s="23">
        <f t="shared" si="10"/>
        <v>18</v>
      </c>
      <c r="H70" s="40">
        <f t="shared" si="11"/>
        <v>22</v>
      </c>
      <c r="I70" s="46" t="s">
        <v>139</v>
      </c>
      <c r="J70" s="95" t="s">
        <v>115</v>
      </c>
    </row>
    <row r="71" ht="13.5" customHeight="1">
      <c r="A71" s="20"/>
      <c r="B71" s="36">
        <v>46163.0</v>
      </c>
      <c r="C71" s="34">
        <v>30.0</v>
      </c>
      <c r="D71" s="93">
        <f t="shared" si="7"/>
        <v>4.5</v>
      </c>
      <c r="E71" s="23">
        <f t="shared" si="8"/>
        <v>6</v>
      </c>
      <c r="F71" s="23">
        <f t="shared" si="9"/>
        <v>3</v>
      </c>
      <c r="G71" s="23">
        <f t="shared" si="10"/>
        <v>13.5</v>
      </c>
      <c r="H71" s="40">
        <f t="shared" si="11"/>
        <v>16.5</v>
      </c>
      <c r="I71" s="46" t="s">
        <v>69</v>
      </c>
      <c r="J71" s="95" t="s">
        <v>115</v>
      </c>
    </row>
    <row r="72" ht="13.5" customHeight="1">
      <c r="A72" s="20"/>
      <c r="B72" s="36">
        <v>46163.0</v>
      </c>
      <c r="C72" s="34">
        <v>90.0</v>
      </c>
      <c r="D72" s="93">
        <f t="shared" si="7"/>
        <v>13.5</v>
      </c>
      <c r="E72" s="23">
        <f t="shared" si="8"/>
        <v>18</v>
      </c>
      <c r="F72" s="23">
        <f t="shared" si="9"/>
        <v>9</v>
      </c>
      <c r="G72" s="23">
        <f t="shared" si="10"/>
        <v>40.5</v>
      </c>
      <c r="H72" s="40">
        <f t="shared" si="11"/>
        <v>49.5</v>
      </c>
      <c r="I72" s="46" t="s">
        <v>140</v>
      </c>
      <c r="J72" s="46" t="s">
        <v>104</v>
      </c>
    </row>
    <row r="73" ht="13.5" customHeight="1">
      <c r="A73" s="20"/>
      <c r="B73" s="36">
        <v>46164.0</v>
      </c>
      <c r="C73" s="34">
        <v>80.0</v>
      </c>
      <c r="D73" s="93">
        <f t="shared" si="7"/>
        <v>12</v>
      </c>
      <c r="E73" s="23">
        <f t="shared" si="8"/>
        <v>16</v>
      </c>
      <c r="F73" s="23">
        <f t="shared" si="9"/>
        <v>8</v>
      </c>
      <c r="G73" s="23">
        <f t="shared" si="10"/>
        <v>36</v>
      </c>
      <c r="H73" s="40">
        <f t="shared" si="11"/>
        <v>44</v>
      </c>
      <c r="I73" s="46" t="s">
        <v>54</v>
      </c>
      <c r="J73" s="95" t="s">
        <v>115</v>
      </c>
    </row>
    <row r="74" ht="13.5" customHeight="1">
      <c r="A74" s="20"/>
      <c r="B74" s="36">
        <v>46165.0</v>
      </c>
      <c r="C74" s="34">
        <v>100.0</v>
      </c>
      <c r="D74" s="93">
        <f t="shared" si="7"/>
        <v>15</v>
      </c>
      <c r="E74" s="23">
        <f t="shared" si="8"/>
        <v>20</v>
      </c>
      <c r="F74" s="23">
        <f t="shared" si="9"/>
        <v>10</v>
      </c>
      <c r="G74" s="23">
        <f t="shared" si="10"/>
        <v>45</v>
      </c>
      <c r="H74" s="40">
        <f t="shared" si="11"/>
        <v>55</v>
      </c>
      <c r="I74" s="46" t="s">
        <v>141</v>
      </c>
      <c r="J74" s="95" t="s">
        <v>115</v>
      </c>
    </row>
    <row r="75" ht="13.5" customHeight="1">
      <c r="A75" s="20"/>
      <c r="B75" s="36">
        <v>46165.0</v>
      </c>
      <c r="C75" s="34">
        <v>70.0</v>
      </c>
      <c r="D75" s="93">
        <f t="shared" si="7"/>
        <v>10.5</v>
      </c>
      <c r="E75" s="23">
        <f t="shared" si="8"/>
        <v>14</v>
      </c>
      <c r="F75" s="23">
        <f t="shared" si="9"/>
        <v>7</v>
      </c>
      <c r="G75" s="23">
        <f t="shared" si="10"/>
        <v>31.5</v>
      </c>
      <c r="H75" s="40">
        <f t="shared" si="11"/>
        <v>38.5</v>
      </c>
      <c r="I75" s="46" t="s">
        <v>142</v>
      </c>
      <c r="J75" s="46" t="s">
        <v>104</v>
      </c>
    </row>
    <row r="76" ht="13.5" customHeight="1">
      <c r="A76" s="20"/>
      <c r="B76" s="36">
        <v>46165.0</v>
      </c>
      <c r="C76" s="34">
        <v>140.0</v>
      </c>
      <c r="D76" s="93">
        <f t="shared" si="7"/>
        <v>21</v>
      </c>
      <c r="E76" s="23">
        <f t="shared" si="8"/>
        <v>28</v>
      </c>
      <c r="F76" s="23">
        <f t="shared" si="9"/>
        <v>14</v>
      </c>
      <c r="G76" s="23">
        <f t="shared" si="10"/>
        <v>63</v>
      </c>
      <c r="H76" s="40">
        <f t="shared" si="11"/>
        <v>77</v>
      </c>
      <c r="I76" s="46" t="s">
        <v>143</v>
      </c>
      <c r="J76" s="46" t="s">
        <v>104</v>
      </c>
    </row>
    <row r="77" ht="13.5" customHeight="1">
      <c r="A77" s="20"/>
      <c r="B77" s="36">
        <v>46165.0</v>
      </c>
      <c r="C77" s="34">
        <v>70.0</v>
      </c>
      <c r="D77" s="93">
        <f t="shared" si="7"/>
        <v>10.5</v>
      </c>
      <c r="E77" s="23">
        <f t="shared" si="8"/>
        <v>14</v>
      </c>
      <c r="F77" s="23">
        <f t="shared" si="9"/>
        <v>7</v>
      </c>
      <c r="G77" s="23">
        <f t="shared" si="10"/>
        <v>31.5</v>
      </c>
      <c r="H77" s="40">
        <f t="shared" si="11"/>
        <v>38.5</v>
      </c>
      <c r="I77" s="48" t="s">
        <v>144</v>
      </c>
      <c r="J77" s="46" t="s">
        <v>104</v>
      </c>
    </row>
    <row r="78" ht="13.5" customHeight="1">
      <c r="A78" s="27"/>
      <c r="B78" s="36">
        <v>46166.0</v>
      </c>
      <c r="C78" s="34">
        <v>80.0</v>
      </c>
      <c r="D78" s="93">
        <f t="shared" si="7"/>
        <v>12</v>
      </c>
      <c r="E78" s="23">
        <f t="shared" si="8"/>
        <v>16</v>
      </c>
      <c r="F78" s="23">
        <f t="shared" si="9"/>
        <v>8</v>
      </c>
      <c r="G78" s="23">
        <f t="shared" si="10"/>
        <v>36</v>
      </c>
      <c r="H78" s="40">
        <f t="shared" si="11"/>
        <v>44</v>
      </c>
      <c r="I78" s="96" t="s">
        <v>50</v>
      </c>
      <c r="J78" s="95" t="s">
        <v>115</v>
      </c>
    </row>
    <row r="79" ht="13.5" customHeight="1">
      <c r="A79" s="97"/>
      <c r="B79" s="36">
        <v>46028.0</v>
      </c>
      <c r="C79" s="34">
        <v>35.0</v>
      </c>
      <c r="D79" s="93">
        <f t="shared" si="7"/>
        <v>5.25</v>
      </c>
      <c r="E79" s="23">
        <f t="shared" si="8"/>
        <v>7</v>
      </c>
      <c r="F79" s="23">
        <f t="shared" si="9"/>
        <v>3.5</v>
      </c>
      <c r="G79" s="23">
        <f t="shared" si="10"/>
        <v>15.75</v>
      </c>
      <c r="H79" s="40">
        <f t="shared" si="11"/>
        <v>19.25</v>
      </c>
      <c r="I79" s="96" t="s">
        <v>145</v>
      </c>
      <c r="J79" s="46" t="s">
        <v>104</v>
      </c>
    </row>
    <row r="80" ht="13.5" customHeight="1">
      <c r="A80" s="97"/>
      <c r="B80" s="36">
        <v>46030.0</v>
      </c>
      <c r="C80" s="34">
        <v>35.0</v>
      </c>
      <c r="D80" s="93">
        <f t="shared" si="7"/>
        <v>5.25</v>
      </c>
      <c r="E80" s="23">
        <f t="shared" si="8"/>
        <v>7</v>
      </c>
      <c r="F80" s="23">
        <f t="shared" si="9"/>
        <v>3.5</v>
      </c>
      <c r="G80" s="23">
        <f t="shared" si="10"/>
        <v>15.75</v>
      </c>
      <c r="H80" s="40">
        <f t="shared" si="11"/>
        <v>19.25</v>
      </c>
      <c r="I80" s="96" t="s">
        <v>146</v>
      </c>
      <c r="J80" s="46" t="s">
        <v>104</v>
      </c>
    </row>
    <row r="81" ht="13.5" customHeight="1">
      <c r="A81" s="97"/>
      <c r="B81" s="36">
        <v>46224.0</v>
      </c>
      <c r="C81" s="34">
        <v>40.0</v>
      </c>
      <c r="D81" s="93">
        <f t="shared" si="7"/>
        <v>6</v>
      </c>
      <c r="E81" s="23">
        <f t="shared" si="8"/>
        <v>8</v>
      </c>
      <c r="F81" s="23">
        <f t="shared" si="9"/>
        <v>4</v>
      </c>
      <c r="G81" s="23">
        <f t="shared" si="10"/>
        <v>18</v>
      </c>
      <c r="H81" s="40">
        <f t="shared" si="11"/>
        <v>22</v>
      </c>
      <c r="I81" s="96" t="s">
        <v>147</v>
      </c>
      <c r="J81" s="95" t="s">
        <v>115</v>
      </c>
    </row>
    <row r="82" ht="13.5" customHeight="1">
      <c r="A82" s="28" t="s">
        <v>52</v>
      </c>
      <c r="B82" s="15"/>
      <c r="C82" s="98">
        <f t="shared" ref="C82:H82" si="12">SUM(C49:C78)</f>
        <v>2030</v>
      </c>
      <c r="D82" s="34">
        <f t="shared" si="12"/>
        <v>304.5</v>
      </c>
      <c r="E82" s="34">
        <f t="shared" si="12"/>
        <v>406</v>
      </c>
      <c r="F82" s="34">
        <f t="shared" si="12"/>
        <v>203</v>
      </c>
      <c r="G82" s="34">
        <f t="shared" si="12"/>
        <v>913.5</v>
      </c>
      <c r="H82" s="34">
        <f t="shared" si="12"/>
        <v>1116.5</v>
      </c>
      <c r="I82" s="54" t="s">
        <v>52</v>
      </c>
      <c r="J82" s="44"/>
    </row>
    <row r="83" ht="13.5" customHeight="1">
      <c r="A83" s="55"/>
      <c r="B83" s="36"/>
      <c r="C83" s="56"/>
      <c r="D83" s="23" t="str">
        <f t="shared" ref="D83:D84" si="13">IF(C83="","",C83*$B$4)</f>
        <v/>
      </c>
      <c r="E83" s="23" t="str">
        <f t="shared" ref="E83:E84" si="14">IF(C83="","",C83*$B$5)</f>
        <v/>
      </c>
      <c r="F83" s="23" t="str">
        <f t="shared" ref="F83:F84" si="15">IF(C83="","",C83*$B$6)</f>
        <v/>
      </c>
      <c r="G83" s="23" t="str">
        <f t="shared" ref="G83:G84" si="16">IF(C83="","",SUM(D83:F83))</f>
        <v/>
      </c>
      <c r="H83" s="40" t="str">
        <f t="shared" ref="H83:H84" si="17">IF(C83="","",C83-G83)</f>
        <v/>
      </c>
      <c r="I83" s="57"/>
      <c r="J83" s="44"/>
    </row>
    <row r="84" ht="13.5" customHeight="1">
      <c r="A84" s="58"/>
      <c r="B84" s="36"/>
      <c r="C84" s="56">
        <v>0.0</v>
      </c>
      <c r="D84" s="23">
        <f t="shared" si="13"/>
        <v>0</v>
      </c>
      <c r="E84" s="23">
        <f t="shared" si="14"/>
        <v>0</v>
      </c>
      <c r="F84" s="23">
        <f t="shared" si="15"/>
        <v>0</v>
      </c>
      <c r="G84" s="23">
        <f t="shared" si="16"/>
        <v>0</v>
      </c>
      <c r="H84" s="40">
        <f t="shared" si="17"/>
        <v>0</v>
      </c>
      <c r="I84" s="57"/>
      <c r="J84" s="44"/>
    </row>
    <row r="85" ht="13.5" customHeight="1">
      <c r="A85" s="99"/>
      <c r="B85" s="100"/>
      <c r="C85" s="101"/>
      <c r="D85" s="101"/>
      <c r="E85" s="101"/>
      <c r="F85" s="101"/>
      <c r="G85" s="101"/>
      <c r="H85" s="102"/>
      <c r="I85" s="103"/>
      <c r="J85" s="103"/>
    </row>
    <row r="86" ht="13.5" customHeight="1">
      <c r="A86" s="104"/>
      <c r="B86" s="105"/>
      <c r="C86" s="106"/>
      <c r="D86" s="107"/>
      <c r="E86" s="107"/>
      <c r="F86" s="107"/>
      <c r="G86" s="108"/>
      <c r="H86" s="108"/>
      <c r="I86" s="109"/>
      <c r="J86" s="110"/>
    </row>
    <row r="87" ht="13.5" customHeight="1">
      <c r="A87" s="4"/>
      <c r="B87" s="69"/>
      <c r="C87" s="4"/>
      <c r="D87" s="4"/>
      <c r="E87" s="70"/>
      <c r="F87" s="71"/>
      <c r="G87" s="4"/>
      <c r="H87" s="4"/>
      <c r="I87" s="4"/>
    </row>
    <row r="88" ht="13.5" customHeight="1">
      <c r="A88" s="4"/>
      <c r="B88" s="69"/>
      <c r="C88" s="4"/>
      <c r="D88" s="4"/>
      <c r="E88" s="70"/>
      <c r="F88" s="71"/>
      <c r="G88" s="4"/>
      <c r="H88" s="4"/>
      <c r="I88" s="4"/>
    </row>
    <row r="89" ht="13.5" customHeight="1">
      <c r="A89" s="4"/>
      <c r="B89" s="69"/>
      <c r="C89" s="4"/>
      <c r="D89" s="4"/>
      <c r="E89" s="70"/>
      <c r="F89" s="71"/>
      <c r="G89" s="4"/>
      <c r="H89" s="4"/>
      <c r="I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</row>
    <row r="91" ht="17.25" customHeight="1">
      <c r="A91" s="72" t="s">
        <v>95</v>
      </c>
      <c r="B91" s="72"/>
      <c r="C91" s="4"/>
      <c r="D91" s="4"/>
      <c r="E91" s="4"/>
      <c r="F91" s="4"/>
      <c r="G91" s="4"/>
      <c r="H91" s="4"/>
      <c r="I91" s="4"/>
    </row>
    <row r="92" ht="17.25" customHeight="1">
      <c r="A92" s="73" t="s">
        <v>96</v>
      </c>
      <c r="B92" s="74">
        <f>SUM(C10:C33,C49:C59,E86)</f>
        <v>2295.5</v>
      </c>
      <c r="C92" s="4"/>
      <c r="D92" s="4"/>
      <c r="E92" s="4"/>
      <c r="F92" s="4"/>
      <c r="G92" s="4"/>
      <c r="H92" s="4"/>
      <c r="I92" s="4"/>
    </row>
    <row r="93" ht="17.25" customHeight="1">
      <c r="A93" s="73" t="s">
        <v>97</v>
      </c>
      <c r="B93" s="74">
        <f>SUM(D10:D33,D49:D59,H86)</f>
        <v>344.325</v>
      </c>
      <c r="C93" s="4"/>
      <c r="D93" s="4"/>
      <c r="E93" s="4"/>
      <c r="F93" s="4"/>
      <c r="G93" s="4"/>
      <c r="H93" s="4"/>
      <c r="I93" s="4"/>
    </row>
    <row r="94" ht="17.25" customHeight="1">
      <c r="A94" s="73" t="s">
        <v>98</v>
      </c>
      <c r="B94" s="74">
        <f>SUM(E10:E33,E49:E59)</f>
        <v>459.1</v>
      </c>
      <c r="C94" s="4"/>
      <c r="D94" s="4"/>
      <c r="E94" s="4"/>
      <c r="F94" s="4"/>
      <c r="G94" s="4"/>
      <c r="H94" s="4"/>
      <c r="I94" s="4"/>
    </row>
    <row r="95" ht="17.25" customHeight="1">
      <c r="A95" s="73" t="s">
        <v>99</v>
      </c>
      <c r="B95" s="75">
        <f>SUM(F10:F33,F49:F59,I86)</f>
        <v>229.55</v>
      </c>
      <c r="C95" s="4"/>
      <c r="D95" s="4"/>
      <c r="E95" s="4"/>
      <c r="F95" s="4"/>
      <c r="G95" s="4"/>
      <c r="H95" s="4"/>
      <c r="I95" s="4"/>
    </row>
    <row r="96" ht="17.25" customHeight="1">
      <c r="A96" s="73" t="s">
        <v>100</v>
      </c>
      <c r="B96" s="76">
        <f>SUM(H10:H33,H49:H59,J86)</f>
        <v>1262.525</v>
      </c>
      <c r="C96" s="4"/>
      <c r="D96" s="4"/>
      <c r="E96" s="4"/>
      <c r="F96" s="4"/>
      <c r="G96" s="4"/>
      <c r="H96" s="4"/>
      <c r="I96" s="4"/>
    </row>
    <row r="97" ht="17.25" customHeight="1">
      <c r="A97" s="73" t="s">
        <v>101</v>
      </c>
      <c r="B97" s="77">
        <f>IFERROR(SUM(G10:G57)/SUM(C10:C57),0)</f>
        <v>0.45</v>
      </c>
      <c r="C97" s="4"/>
      <c r="D97" s="4"/>
      <c r="E97" s="4"/>
      <c r="F97" s="4"/>
      <c r="G97" s="4"/>
      <c r="H97" s="4"/>
      <c r="I97" s="4"/>
    </row>
    <row r="98" ht="13.5" customHeight="1"/>
    <row r="99" ht="13.5" customHeight="1"/>
    <row r="100" ht="13.5" customHeight="1"/>
    <row r="101" ht="13.5" customHeight="1">
      <c r="A101" s="78" t="s">
        <v>102</v>
      </c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</sheetData>
  <mergeCells count="6">
    <mergeCell ref="A1:D1"/>
    <mergeCell ref="B7:C7"/>
    <mergeCell ref="I9:J9"/>
    <mergeCell ref="A48:B48"/>
    <mergeCell ref="A49:A78"/>
    <mergeCell ref="A82:B8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3.0"/>
    <col customWidth="1" min="3" max="3" width="18.0"/>
    <col customWidth="1" min="4" max="4" width="16.0"/>
    <col customWidth="1" min="5" max="5" width="24.75"/>
    <col customWidth="1" min="6" max="6" width="14.0"/>
    <col customWidth="1" min="7" max="7" width="17.0"/>
    <col customWidth="1" min="8" max="8" width="18.0"/>
    <col customWidth="1" min="9" max="9" width="32.0"/>
    <col customWidth="1" min="10" max="10" width="17.0"/>
    <col customWidth="1" min="11" max="26" width="8.63"/>
  </cols>
  <sheetData>
    <row r="1" ht="13.5" customHeight="1">
      <c r="A1" s="9" t="s">
        <v>19</v>
      </c>
      <c r="B1" s="2"/>
      <c r="C1" s="2"/>
      <c r="D1" s="3"/>
      <c r="E1" s="4"/>
      <c r="F1" s="4"/>
      <c r="G1" s="4"/>
      <c r="H1" s="4"/>
      <c r="I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</row>
    <row r="3" ht="13.5" customHeight="1">
      <c r="A3" s="10" t="s">
        <v>20</v>
      </c>
      <c r="B3" s="10" t="s">
        <v>21</v>
      </c>
      <c r="C3" s="4"/>
      <c r="D3" s="4"/>
      <c r="E3" s="4"/>
      <c r="F3" s="4"/>
      <c r="G3" s="4"/>
      <c r="H3" s="4"/>
      <c r="I3" s="4"/>
    </row>
    <row r="4" ht="13.5" customHeight="1">
      <c r="A4" s="4" t="s">
        <v>22</v>
      </c>
      <c r="B4" s="11">
        <v>0.15</v>
      </c>
      <c r="C4" s="4"/>
      <c r="D4" s="4"/>
      <c r="E4" s="4"/>
      <c r="F4" s="4"/>
      <c r="G4" s="4"/>
      <c r="H4" s="4"/>
      <c r="I4" s="4"/>
    </row>
    <row r="5" ht="13.5" customHeight="1">
      <c r="A5" s="4" t="s">
        <v>23</v>
      </c>
      <c r="B5" s="11">
        <v>0.2</v>
      </c>
      <c r="C5" s="4"/>
      <c r="D5" s="4"/>
      <c r="E5" s="4"/>
      <c r="F5" s="4"/>
      <c r="G5" s="4"/>
      <c r="H5" s="4"/>
      <c r="I5" s="4"/>
    </row>
    <row r="6" ht="13.5" customHeight="1">
      <c r="A6" s="4" t="s">
        <v>24</v>
      </c>
      <c r="B6" s="11">
        <v>0.1</v>
      </c>
      <c r="C6" s="4"/>
      <c r="D6" s="4"/>
      <c r="E6" s="4"/>
      <c r="F6" s="4"/>
      <c r="G6" s="4"/>
      <c r="H6" s="4"/>
      <c r="I6" s="4"/>
    </row>
    <row r="7" ht="57.0" customHeight="1">
      <c r="A7" s="6" t="s">
        <v>25</v>
      </c>
      <c r="B7" s="12" t="s">
        <v>26</v>
      </c>
      <c r="D7" s="4"/>
      <c r="E7" s="4"/>
      <c r="F7" s="4"/>
      <c r="G7" s="4"/>
      <c r="H7" s="4"/>
      <c r="I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</row>
    <row r="9" ht="27.0" customHeight="1">
      <c r="A9" s="13" t="s">
        <v>27</v>
      </c>
      <c r="B9" s="13" t="s">
        <v>28</v>
      </c>
      <c r="C9" s="13" t="s">
        <v>29</v>
      </c>
      <c r="D9" s="13" t="s">
        <v>30</v>
      </c>
      <c r="E9" s="13" t="s">
        <v>31</v>
      </c>
      <c r="F9" s="13" t="s">
        <v>32</v>
      </c>
      <c r="G9" s="13" t="s">
        <v>33</v>
      </c>
      <c r="H9" s="13" t="s">
        <v>34</v>
      </c>
      <c r="I9" s="14" t="s">
        <v>35</v>
      </c>
      <c r="J9" s="15"/>
    </row>
    <row r="10" ht="16.5" customHeight="1">
      <c r="A10" s="111" t="s">
        <v>148</v>
      </c>
      <c r="B10" s="80">
        <v>46038.0</v>
      </c>
      <c r="C10" s="81">
        <v>40.0</v>
      </c>
      <c r="D10" s="82">
        <f t="shared" ref="D10:D47" si="1">IF(C10="","",C10*$B$4)</f>
        <v>6</v>
      </c>
      <c r="E10" s="82">
        <f t="shared" ref="E10:E47" si="2">IF(C10="","",C10*$B$5)</f>
        <v>8</v>
      </c>
      <c r="F10" s="83">
        <f t="shared" ref="F10:F47" si="3">IF(C10="","",C10*$B$6)</f>
        <v>4</v>
      </c>
      <c r="G10" s="83">
        <f t="shared" ref="G10:G47" si="4">IF(C10="","",SUM(D10:F10))</f>
        <v>18</v>
      </c>
      <c r="H10" s="83">
        <f t="shared" ref="H10:H47" si="5">IF(C10="","",C10-G10)</f>
        <v>22</v>
      </c>
      <c r="I10" s="112" t="s">
        <v>66</v>
      </c>
      <c r="J10" s="84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6.5" customHeight="1">
      <c r="A11" s="113"/>
      <c r="B11" s="36">
        <v>46028.0</v>
      </c>
      <c r="C11" s="81">
        <v>100.0</v>
      </c>
      <c r="D11" s="22">
        <f t="shared" si="1"/>
        <v>15</v>
      </c>
      <c r="E11" s="22">
        <f t="shared" si="2"/>
        <v>20</v>
      </c>
      <c r="F11" s="23">
        <f t="shared" si="3"/>
        <v>10</v>
      </c>
      <c r="G11" s="23">
        <f t="shared" si="4"/>
        <v>45</v>
      </c>
      <c r="H11" s="23">
        <f t="shared" si="5"/>
        <v>55</v>
      </c>
      <c r="I11" s="35" t="s">
        <v>149</v>
      </c>
      <c r="J11" s="87"/>
    </row>
    <row r="12" ht="16.5" customHeight="1">
      <c r="A12" s="113"/>
      <c r="B12" s="36">
        <v>46030.0</v>
      </c>
      <c r="C12" s="81">
        <v>50.0</v>
      </c>
      <c r="D12" s="22">
        <f t="shared" si="1"/>
        <v>7.5</v>
      </c>
      <c r="E12" s="22">
        <f t="shared" si="2"/>
        <v>10</v>
      </c>
      <c r="F12" s="23">
        <f t="shared" si="3"/>
        <v>5</v>
      </c>
      <c r="G12" s="23">
        <f t="shared" si="4"/>
        <v>22.5</v>
      </c>
      <c r="H12" s="23">
        <f t="shared" si="5"/>
        <v>27.5</v>
      </c>
      <c r="I12" s="35" t="s">
        <v>117</v>
      </c>
      <c r="J12" s="88"/>
    </row>
    <row r="13" ht="16.5" customHeight="1">
      <c r="A13" s="113"/>
      <c r="B13" s="36">
        <v>46028.0</v>
      </c>
      <c r="C13" s="81">
        <v>40.0</v>
      </c>
      <c r="D13" s="22">
        <f t="shared" si="1"/>
        <v>6</v>
      </c>
      <c r="E13" s="22">
        <f t="shared" si="2"/>
        <v>8</v>
      </c>
      <c r="F13" s="23">
        <f t="shared" si="3"/>
        <v>4</v>
      </c>
      <c r="G13" s="23">
        <f t="shared" si="4"/>
        <v>18</v>
      </c>
      <c r="H13" s="23">
        <f t="shared" si="5"/>
        <v>22</v>
      </c>
      <c r="I13" s="35" t="s">
        <v>150</v>
      </c>
      <c r="J13" s="88"/>
    </row>
    <row r="14" ht="16.5" customHeight="1">
      <c r="A14" s="113"/>
      <c r="B14" s="36">
        <v>46028.0</v>
      </c>
      <c r="C14" s="81">
        <v>165.0</v>
      </c>
      <c r="D14" s="22">
        <f t="shared" si="1"/>
        <v>24.75</v>
      </c>
      <c r="E14" s="22">
        <f t="shared" si="2"/>
        <v>33</v>
      </c>
      <c r="F14" s="23">
        <f t="shared" si="3"/>
        <v>16.5</v>
      </c>
      <c r="G14" s="23">
        <f t="shared" si="4"/>
        <v>74.25</v>
      </c>
      <c r="H14" s="23">
        <f t="shared" si="5"/>
        <v>90.75</v>
      </c>
      <c r="I14" s="35" t="s">
        <v>58</v>
      </c>
      <c r="J14" s="88"/>
    </row>
    <row r="15" ht="16.5" customHeight="1">
      <c r="A15" s="113"/>
      <c r="B15" s="36">
        <v>46028.0</v>
      </c>
      <c r="C15" s="81">
        <v>195.0</v>
      </c>
      <c r="D15" s="22">
        <f t="shared" si="1"/>
        <v>29.25</v>
      </c>
      <c r="E15" s="22">
        <f t="shared" si="2"/>
        <v>39</v>
      </c>
      <c r="F15" s="23">
        <f t="shared" si="3"/>
        <v>19.5</v>
      </c>
      <c r="G15" s="23">
        <f t="shared" si="4"/>
        <v>87.75</v>
      </c>
      <c r="H15" s="23">
        <f t="shared" si="5"/>
        <v>107.25</v>
      </c>
      <c r="I15" s="35" t="s">
        <v>151</v>
      </c>
      <c r="J15" s="88"/>
    </row>
    <row r="16" ht="16.5" customHeight="1">
      <c r="A16" s="113"/>
      <c r="B16" s="36">
        <v>46028.0</v>
      </c>
      <c r="C16" s="81">
        <v>150.0</v>
      </c>
      <c r="D16" s="22">
        <f t="shared" si="1"/>
        <v>22.5</v>
      </c>
      <c r="E16" s="22">
        <f t="shared" si="2"/>
        <v>30</v>
      </c>
      <c r="F16" s="23">
        <f t="shared" si="3"/>
        <v>15</v>
      </c>
      <c r="G16" s="23">
        <f t="shared" si="4"/>
        <v>67.5</v>
      </c>
      <c r="H16" s="23">
        <f t="shared" si="5"/>
        <v>82.5</v>
      </c>
      <c r="I16" s="35" t="s">
        <v>152</v>
      </c>
      <c r="J16" s="88"/>
    </row>
    <row r="17" ht="16.5" customHeight="1">
      <c r="A17" s="113"/>
      <c r="B17" s="36">
        <v>46028.0</v>
      </c>
      <c r="C17" s="81">
        <v>45.0</v>
      </c>
      <c r="D17" s="22">
        <f t="shared" si="1"/>
        <v>6.75</v>
      </c>
      <c r="E17" s="22">
        <f t="shared" si="2"/>
        <v>9</v>
      </c>
      <c r="F17" s="23">
        <f t="shared" si="3"/>
        <v>4.5</v>
      </c>
      <c r="G17" s="23">
        <f t="shared" si="4"/>
        <v>20.25</v>
      </c>
      <c r="H17" s="23">
        <f t="shared" si="5"/>
        <v>24.75</v>
      </c>
      <c r="I17" s="35" t="s">
        <v>131</v>
      </c>
      <c r="J17" s="88"/>
    </row>
    <row r="18" ht="16.5" customHeight="1">
      <c r="A18" s="113"/>
      <c r="B18" s="36">
        <v>46028.0</v>
      </c>
      <c r="C18" s="81">
        <v>45.0</v>
      </c>
      <c r="D18" s="22">
        <f t="shared" si="1"/>
        <v>6.75</v>
      </c>
      <c r="E18" s="22">
        <f t="shared" si="2"/>
        <v>9</v>
      </c>
      <c r="F18" s="23">
        <f t="shared" si="3"/>
        <v>4.5</v>
      </c>
      <c r="G18" s="23">
        <f t="shared" si="4"/>
        <v>20.25</v>
      </c>
      <c r="H18" s="23">
        <f t="shared" si="5"/>
        <v>24.75</v>
      </c>
      <c r="I18" s="35" t="s">
        <v>120</v>
      </c>
      <c r="J18" s="87"/>
    </row>
    <row r="19" ht="16.5" customHeight="1">
      <c r="A19" s="113"/>
      <c r="B19" s="36">
        <v>46028.0</v>
      </c>
      <c r="C19" s="81">
        <v>250.0</v>
      </c>
      <c r="D19" s="22">
        <f t="shared" si="1"/>
        <v>37.5</v>
      </c>
      <c r="E19" s="22">
        <f t="shared" si="2"/>
        <v>50</v>
      </c>
      <c r="F19" s="23">
        <f t="shared" si="3"/>
        <v>25</v>
      </c>
      <c r="G19" s="23">
        <f t="shared" si="4"/>
        <v>112.5</v>
      </c>
      <c r="H19" s="23">
        <f t="shared" si="5"/>
        <v>137.5</v>
      </c>
      <c r="I19" s="35" t="s">
        <v>153</v>
      </c>
      <c r="J19" s="87"/>
    </row>
    <row r="20" ht="16.5" customHeight="1">
      <c r="A20" s="113"/>
      <c r="B20" s="36">
        <v>46028.0</v>
      </c>
      <c r="C20" s="81">
        <v>35.0</v>
      </c>
      <c r="D20" s="22">
        <f t="shared" si="1"/>
        <v>5.25</v>
      </c>
      <c r="E20" s="22">
        <f t="shared" si="2"/>
        <v>7</v>
      </c>
      <c r="F20" s="23">
        <f t="shared" si="3"/>
        <v>3.5</v>
      </c>
      <c r="G20" s="23">
        <f t="shared" si="4"/>
        <v>15.75</v>
      </c>
      <c r="H20" s="23">
        <f t="shared" si="5"/>
        <v>19.25</v>
      </c>
      <c r="I20" s="35" t="s">
        <v>154</v>
      </c>
      <c r="J20" s="87"/>
    </row>
    <row r="21" ht="16.5" customHeight="1">
      <c r="A21" s="113"/>
      <c r="B21" s="36">
        <v>46028.0</v>
      </c>
      <c r="C21" s="81">
        <v>30.0</v>
      </c>
      <c r="D21" s="22">
        <f t="shared" si="1"/>
        <v>4.5</v>
      </c>
      <c r="E21" s="22">
        <f t="shared" si="2"/>
        <v>6</v>
      </c>
      <c r="F21" s="23">
        <f t="shared" si="3"/>
        <v>3</v>
      </c>
      <c r="G21" s="23">
        <f t="shared" si="4"/>
        <v>13.5</v>
      </c>
      <c r="H21" s="23">
        <f t="shared" si="5"/>
        <v>16.5</v>
      </c>
      <c r="I21" s="35" t="s">
        <v>155</v>
      </c>
      <c r="J21" s="87" t="s">
        <v>115</v>
      </c>
    </row>
    <row r="22" ht="16.5" customHeight="1">
      <c r="A22" s="113"/>
      <c r="B22" s="36">
        <v>46028.0</v>
      </c>
      <c r="C22" s="81">
        <v>80.0</v>
      </c>
      <c r="D22" s="22">
        <f t="shared" si="1"/>
        <v>12</v>
      </c>
      <c r="E22" s="22">
        <f t="shared" si="2"/>
        <v>16</v>
      </c>
      <c r="F22" s="23">
        <f t="shared" si="3"/>
        <v>8</v>
      </c>
      <c r="G22" s="23">
        <f t="shared" si="4"/>
        <v>36</v>
      </c>
      <c r="H22" s="23">
        <f t="shared" si="5"/>
        <v>44</v>
      </c>
      <c r="I22" s="35" t="s">
        <v>156</v>
      </c>
      <c r="J22" s="87" t="s">
        <v>115</v>
      </c>
    </row>
    <row r="23" ht="16.5" customHeight="1">
      <c r="A23" s="113"/>
      <c r="B23" s="36">
        <v>46028.0</v>
      </c>
      <c r="C23" s="81">
        <v>35.0</v>
      </c>
      <c r="D23" s="22">
        <f t="shared" si="1"/>
        <v>5.25</v>
      </c>
      <c r="E23" s="22">
        <f t="shared" si="2"/>
        <v>7</v>
      </c>
      <c r="F23" s="23">
        <f t="shared" si="3"/>
        <v>3.5</v>
      </c>
      <c r="G23" s="23">
        <f t="shared" si="4"/>
        <v>15.75</v>
      </c>
      <c r="H23" s="23">
        <f t="shared" si="5"/>
        <v>19.25</v>
      </c>
      <c r="I23" s="35" t="s">
        <v>128</v>
      </c>
      <c r="J23" s="88" t="s">
        <v>104</v>
      </c>
    </row>
    <row r="24" ht="16.5" customHeight="1">
      <c r="A24" s="113"/>
      <c r="B24" s="36">
        <v>46028.0</v>
      </c>
      <c r="C24" s="81">
        <v>80.0</v>
      </c>
      <c r="D24" s="22">
        <f t="shared" si="1"/>
        <v>12</v>
      </c>
      <c r="E24" s="22">
        <f t="shared" si="2"/>
        <v>16</v>
      </c>
      <c r="F24" s="23">
        <f t="shared" si="3"/>
        <v>8</v>
      </c>
      <c r="G24" s="23">
        <f t="shared" si="4"/>
        <v>36</v>
      </c>
      <c r="H24" s="23">
        <f t="shared" si="5"/>
        <v>44</v>
      </c>
      <c r="I24" s="35" t="s">
        <v>157</v>
      </c>
      <c r="J24" s="87"/>
    </row>
    <row r="25" ht="16.5" customHeight="1">
      <c r="A25" s="113"/>
      <c r="B25" s="36">
        <v>46028.0</v>
      </c>
      <c r="C25" s="81">
        <v>80.0</v>
      </c>
      <c r="D25" s="22">
        <f t="shared" si="1"/>
        <v>12</v>
      </c>
      <c r="E25" s="22">
        <f t="shared" si="2"/>
        <v>16</v>
      </c>
      <c r="F25" s="23">
        <f t="shared" si="3"/>
        <v>8</v>
      </c>
      <c r="G25" s="23">
        <f t="shared" si="4"/>
        <v>36</v>
      </c>
      <c r="H25" s="23">
        <f t="shared" si="5"/>
        <v>44</v>
      </c>
      <c r="I25" s="35" t="s">
        <v>158</v>
      </c>
      <c r="J25" s="87"/>
    </row>
    <row r="26" ht="16.5" customHeight="1">
      <c r="A26" s="113"/>
      <c r="B26" s="36">
        <v>46028.0</v>
      </c>
      <c r="C26" s="81">
        <v>35.0</v>
      </c>
      <c r="D26" s="22">
        <f t="shared" si="1"/>
        <v>5.25</v>
      </c>
      <c r="E26" s="22">
        <f t="shared" si="2"/>
        <v>7</v>
      </c>
      <c r="F26" s="23">
        <f t="shared" si="3"/>
        <v>3.5</v>
      </c>
      <c r="G26" s="23">
        <f t="shared" si="4"/>
        <v>15.75</v>
      </c>
      <c r="H26" s="23">
        <f t="shared" si="5"/>
        <v>19.25</v>
      </c>
      <c r="I26" s="35" t="s">
        <v>114</v>
      </c>
      <c r="J26" s="87"/>
    </row>
    <row r="27" ht="16.5" customHeight="1">
      <c r="A27" s="113"/>
      <c r="B27" s="36">
        <v>46028.0</v>
      </c>
      <c r="C27" s="81">
        <v>40.0</v>
      </c>
      <c r="D27" s="22">
        <f t="shared" si="1"/>
        <v>6</v>
      </c>
      <c r="E27" s="22">
        <f t="shared" si="2"/>
        <v>8</v>
      </c>
      <c r="F27" s="23">
        <f t="shared" si="3"/>
        <v>4</v>
      </c>
      <c r="G27" s="23">
        <f t="shared" si="4"/>
        <v>18</v>
      </c>
      <c r="H27" s="23">
        <f t="shared" si="5"/>
        <v>22</v>
      </c>
      <c r="I27" s="35" t="s">
        <v>121</v>
      </c>
      <c r="J27" s="87"/>
    </row>
    <row r="28" ht="16.5" customHeight="1">
      <c r="A28" s="113"/>
      <c r="B28" s="36">
        <v>46028.0</v>
      </c>
      <c r="C28" s="81">
        <v>35.0</v>
      </c>
      <c r="D28" s="22">
        <f t="shared" si="1"/>
        <v>5.25</v>
      </c>
      <c r="E28" s="22">
        <f t="shared" si="2"/>
        <v>7</v>
      </c>
      <c r="F28" s="23">
        <f t="shared" si="3"/>
        <v>3.5</v>
      </c>
      <c r="G28" s="23">
        <f t="shared" si="4"/>
        <v>15.75</v>
      </c>
      <c r="H28" s="23">
        <f t="shared" si="5"/>
        <v>19.25</v>
      </c>
      <c r="I28" s="35" t="s">
        <v>128</v>
      </c>
      <c r="J28" s="87"/>
    </row>
    <row r="29" ht="16.5" customHeight="1">
      <c r="A29" s="113"/>
      <c r="B29" s="36">
        <v>46030.0</v>
      </c>
      <c r="C29" s="81">
        <v>35.0</v>
      </c>
      <c r="D29" s="22">
        <f t="shared" si="1"/>
        <v>5.25</v>
      </c>
      <c r="E29" s="22">
        <f t="shared" si="2"/>
        <v>7</v>
      </c>
      <c r="F29" s="23">
        <f t="shared" si="3"/>
        <v>3.5</v>
      </c>
      <c r="G29" s="23">
        <f t="shared" si="4"/>
        <v>15.75</v>
      </c>
      <c r="H29" s="23">
        <f t="shared" si="5"/>
        <v>19.25</v>
      </c>
      <c r="I29" s="35" t="s">
        <v>118</v>
      </c>
      <c r="J29" s="88"/>
    </row>
    <row r="30" ht="16.5" customHeight="1">
      <c r="A30" s="113"/>
      <c r="B30" s="36">
        <v>46030.0</v>
      </c>
      <c r="C30" s="81">
        <v>45.0</v>
      </c>
      <c r="D30" s="22">
        <f t="shared" si="1"/>
        <v>6.75</v>
      </c>
      <c r="E30" s="22">
        <f t="shared" si="2"/>
        <v>9</v>
      </c>
      <c r="F30" s="23">
        <f t="shared" si="3"/>
        <v>4.5</v>
      </c>
      <c r="G30" s="23">
        <f t="shared" si="4"/>
        <v>20.25</v>
      </c>
      <c r="H30" s="23">
        <f t="shared" si="5"/>
        <v>24.75</v>
      </c>
      <c r="I30" s="35" t="s">
        <v>159</v>
      </c>
      <c r="J30" s="88" t="s">
        <v>160</v>
      </c>
    </row>
    <row r="31" ht="16.5" customHeight="1">
      <c r="A31" s="113"/>
      <c r="B31" s="36">
        <v>46030.0</v>
      </c>
      <c r="C31" s="81">
        <v>80.0</v>
      </c>
      <c r="D31" s="22">
        <f t="shared" si="1"/>
        <v>12</v>
      </c>
      <c r="E31" s="22">
        <f t="shared" si="2"/>
        <v>16</v>
      </c>
      <c r="F31" s="23">
        <f t="shared" si="3"/>
        <v>8</v>
      </c>
      <c r="G31" s="23">
        <f t="shared" si="4"/>
        <v>36</v>
      </c>
      <c r="H31" s="23">
        <f t="shared" si="5"/>
        <v>44</v>
      </c>
      <c r="I31" s="35" t="s">
        <v>161</v>
      </c>
      <c r="J31" s="88"/>
    </row>
    <row r="32" ht="16.5" customHeight="1">
      <c r="A32" s="113"/>
      <c r="B32" s="36">
        <v>46030.0</v>
      </c>
      <c r="C32" s="81">
        <v>35.0</v>
      </c>
      <c r="D32" s="22">
        <f t="shared" si="1"/>
        <v>5.25</v>
      </c>
      <c r="E32" s="22">
        <f t="shared" si="2"/>
        <v>7</v>
      </c>
      <c r="F32" s="23">
        <f t="shared" si="3"/>
        <v>3.5</v>
      </c>
      <c r="G32" s="23">
        <f t="shared" si="4"/>
        <v>15.75</v>
      </c>
      <c r="H32" s="23">
        <f t="shared" si="5"/>
        <v>19.25</v>
      </c>
      <c r="I32" s="35" t="s">
        <v>162</v>
      </c>
      <c r="J32" s="88"/>
    </row>
    <row r="33" ht="16.5" customHeight="1">
      <c r="A33" s="113"/>
      <c r="B33" s="36">
        <v>46030.0</v>
      </c>
      <c r="C33" s="81">
        <v>50.0</v>
      </c>
      <c r="D33" s="22">
        <f t="shared" si="1"/>
        <v>7.5</v>
      </c>
      <c r="E33" s="22">
        <f t="shared" si="2"/>
        <v>10</v>
      </c>
      <c r="F33" s="23">
        <f t="shared" si="3"/>
        <v>5</v>
      </c>
      <c r="G33" s="23">
        <f t="shared" si="4"/>
        <v>22.5</v>
      </c>
      <c r="H33" s="23">
        <f t="shared" si="5"/>
        <v>27.5</v>
      </c>
      <c r="I33" s="35" t="s">
        <v>41</v>
      </c>
      <c r="J33" s="88"/>
    </row>
    <row r="34" ht="16.5" customHeight="1">
      <c r="A34" s="113"/>
      <c r="B34" s="36">
        <v>46034.0</v>
      </c>
      <c r="C34" s="81">
        <v>45.0</v>
      </c>
      <c r="D34" s="22">
        <f t="shared" si="1"/>
        <v>6.75</v>
      </c>
      <c r="E34" s="22">
        <f t="shared" si="2"/>
        <v>9</v>
      </c>
      <c r="F34" s="23">
        <f t="shared" si="3"/>
        <v>4.5</v>
      </c>
      <c r="G34" s="23">
        <f t="shared" si="4"/>
        <v>20.25</v>
      </c>
      <c r="H34" s="23">
        <f t="shared" si="5"/>
        <v>24.75</v>
      </c>
      <c r="I34" s="89" t="s">
        <v>110</v>
      </c>
      <c r="J34" s="87"/>
    </row>
    <row r="35" ht="16.5" customHeight="1">
      <c r="A35" s="113"/>
      <c r="B35" s="36">
        <v>46035.0</v>
      </c>
      <c r="C35" s="81">
        <v>75.0</v>
      </c>
      <c r="D35" s="22">
        <f t="shared" si="1"/>
        <v>11.25</v>
      </c>
      <c r="E35" s="22">
        <f t="shared" si="2"/>
        <v>15</v>
      </c>
      <c r="F35" s="23">
        <f t="shared" si="3"/>
        <v>7.5</v>
      </c>
      <c r="G35" s="23">
        <f t="shared" si="4"/>
        <v>33.75</v>
      </c>
      <c r="H35" s="23">
        <f t="shared" si="5"/>
        <v>41.25</v>
      </c>
      <c r="I35" s="89" t="s">
        <v>163</v>
      </c>
      <c r="J35" s="87"/>
    </row>
    <row r="36" ht="16.5" customHeight="1">
      <c r="A36" s="113"/>
      <c r="B36" s="36">
        <v>46036.0</v>
      </c>
      <c r="C36" s="81">
        <v>80.0</v>
      </c>
      <c r="D36" s="22">
        <f t="shared" si="1"/>
        <v>12</v>
      </c>
      <c r="E36" s="22">
        <f t="shared" si="2"/>
        <v>16</v>
      </c>
      <c r="F36" s="23">
        <f t="shared" si="3"/>
        <v>8</v>
      </c>
      <c r="G36" s="23">
        <f t="shared" si="4"/>
        <v>36</v>
      </c>
      <c r="H36" s="23">
        <f t="shared" si="5"/>
        <v>44</v>
      </c>
      <c r="I36" s="89" t="s">
        <v>64</v>
      </c>
      <c r="J36" s="37"/>
    </row>
    <row r="37" ht="16.5" customHeight="1">
      <c r="A37" s="113"/>
      <c r="B37" s="36">
        <v>46037.0</v>
      </c>
      <c r="C37" s="81">
        <v>50.0</v>
      </c>
      <c r="D37" s="22">
        <f t="shared" si="1"/>
        <v>7.5</v>
      </c>
      <c r="E37" s="22">
        <f t="shared" si="2"/>
        <v>10</v>
      </c>
      <c r="F37" s="23">
        <f t="shared" si="3"/>
        <v>5</v>
      </c>
      <c r="G37" s="23">
        <f t="shared" si="4"/>
        <v>22.5</v>
      </c>
      <c r="H37" s="23">
        <f t="shared" si="5"/>
        <v>27.5</v>
      </c>
      <c r="I37" s="89" t="s">
        <v>133</v>
      </c>
      <c r="J37" s="37"/>
    </row>
    <row r="38" ht="16.5" customHeight="1">
      <c r="A38" s="113"/>
      <c r="B38" s="80">
        <v>46038.0</v>
      </c>
      <c r="C38" s="81">
        <v>52.5</v>
      </c>
      <c r="D38" s="82">
        <f t="shared" si="1"/>
        <v>7.875</v>
      </c>
      <c r="E38" s="82">
        <f t="shared" si="2"/>
        <v>10.5</v>
      </c>
      <c r="F38" s="83">
        <f t="shared" si="3"/>
        <v>5.25</v>
      </c>
      <c r="G38" s="83">
        <f t="shared" si="4"/>
        <v>23.625</v>
      </c>
      <c r="H38" s="83">
        <f t="shared" si="5"/>
        <v>28.875</v>
      </c>
      <c r="I38" s="89" t="s">
        <v>164</v>
      </c>
      <c r="J38" s="37"/>
    </row>
    <row r="39" ht="16.5" customHeight="1">
      <c r="A39" s="113"/>
      <c r="B39" s="80">
        <v>46038.0</v>
      </c>
      <c r="C39" s="114">
        <v>0.0</v>
      </c>
      <c r="D39" s="82">
        <f t="shared" si="1"/>
        <v>0</v>
      </c>
      <c r="E39" s="82">
        <f t="shared" si="2"/>
        <v>0</v>
      </c>
      <c r="F39" s="83">
        <f t="shared" si="3"/>
        <v>0</v>
      </c>
      <c r="G39" s="83">
        <f t="shared" si="4"/>
        <v>0</v>
      </c>
      <c r="H39" s="83">
        <f t="shared" si="5"/>
        <v>0</v>
      </c>
      <c r="I39" s="37"/>
      <c r="J39" s="37"/>
    </row>
    <row r="40" ht="16.5" customHeight="1">
      <c r="A40" s="113"/>
      <c r="B40" s="80">
        <v>46038.0</v>
      </c>
      <c r="C40" s="114">
        <v>0.0</v>
      </c>
      <c r="D40" s="82">
        <f t="shared" si="1"/>
        <v>0</v>
      </c>
      <c r="E40" s="82">
        <f t="shared" si="2"/>
        <v>0</v>
      </c>
      <c r="F40" s="83">
        <f t="shared" si="3"/>
        <v>0</v>
      </c>
      <c r="G40" s="83">
        <f t="shared" si="4"/>
        <v>0</v>
      </c>
      <c r="H40" s="83">
        <f t="shared" si="5"/>
        <v>0</v>
      </c>
      <c r="I40" s="37"/>
      <c r="J40" s="37"/>
    </row>
    <row r="41" ht="16.5" customHeight="1">
      <c r="A41" s="113"/>
      <c r="B41" s="80">
        <v>46038.0</v>
      </c>
      <c r="C41" s="114">
        <v>0.0</v>
      </c>
      <c r="D41" s="82">
        <f t="shared" si="1"/>
        <v>0</v>
      </c>
      <c r="E41" s="82">
        <f t="shared" si="2"/>
        <v>0</v>
      </c>
      <c r="F41" s="83">
        <f t="shared" si="3"/>
        <v>0</v>
      </c>
      <c r="G41" s="83">
        <f t="shared" si="4"/>
        <v>0</v>
      </c>
      <c r="H41" s="83">
        <f t="shared" si="5"/>
        <v>0</v>
      </c>
      <c r="I41" s="37"/>
      <c r="J41" s="37"/>
    </row>
    <row r="42" ht="16.5" customHeight="1">
      <c r="A42" s="113"/>
      <c r="B42" s="36">
        <v>46038.0</v>
      </c>
      <c r="C42" s="114">
        <v>0.0</v>
      </c>
      <c r="D42" s="22">
        <f t="shared" si="1"/>
        <v>0</v>
      </c>
      <c r="E42" s="22">
        <f t="shared" si="2"/>
        <v>0</v>
      </c>
      <c r="F42" s="23">
        <f t="shared" si="3"/>
        <v>0</v>
      </c>
      <c r="G42" s="23">
        <f t="shared" si="4"/>
        <v>0</v>
      </c>
      <c r="H42" s="23">
        <f t="shared" si="5"/>
        <v>0</v>
      </c>
      <c r="I42" s="37"/>
      <c r="J42" s="37"/>
    </row>
    <row r="43" ht="16.5" customHeight="1">
      <c r="A43" s="113"/>
      <c r="B43" s="36">
        <v>46039.0</v>
      </c>
      <c r="C43" s="114">
        <v>0.0</v>
      </c>
      <c r="D43" s="22">
        <f t="shared" si="1"/>
        <v>0</v>
      </c>
      <c r="E43" s="22">
        <f t="shared" si="2"/>
        <v>0</v>
      </c>
      <c r="F43" s="23">
        <f t="shared" si="3"/>
        <v>0</v>
      </c>
      <c r="G43" s="23">
        <f t="shared" si="4"/>
        <v>0</v>
      </c>
      <c r="H43" s="23">
        <f t="shared" si="5"/>
        <v>0</v>
      </c>
      <c r="I43" s="37"/>
      <c r="J43" s="37"/>
    </row>
    <row r="44" ht="16.5" customHeight="1">
      <c r="A44" s="113"/>
      <c r="B44" s="36">
        <v>46040.0</v>
      </c>
      <c r="C44" s="114">
        <v>0.0</v>
      </c>
      <c r="D44" s="22">
        <f t="shared" si="1"/>
        <v>0</v>
      </c>
      <c r="E44" s="22">
        <f t="shared" si="2"/>
        <v>0</v>
      </c>
      <c r="F44" s="23">
        <f t="shared" si="3"/>
        <v>0</v>
      </c>
      <c r="G44" s="23">
        <f t="shared" si="4"/>
        <v>0</v>
      </c>
      <c r="H44" s="23">
        <f t="shared" si="5"/>
        <v>0</v>
      </c>
      <c r="I44" s="37"/>
      <c r="J44" s="37"/>
    </row>
    <row r="45" ht="16.5" customHeight="1">
      <c r="A45" s="113"/>
      <c r="B45" s="36">
        <v>46041.0</v>
      </c>
      <c r="C45" s="114">
        <v>0.0</v>
      </c>
      <c r="D45" s="22">
        <f t="shared" si="1"/>
        <v>0</v>
      </c>
      <c r="E45" s="22">
        <f t="shared" si="2"/>
        <v>0</v>
      </c>
      <c r="F45" s="23">
        <f t="shared" si="3"/>
        <v>0</v>
      </c>
      <c r="G45" s="23">
        <f t="shared" si="4"/>
        <v>0</v>
      </c>
      <c r="H45" s="23">
        <f t="shared" si="5"/>
        <v>0</v>
      </c>
      <c r="I45" s="37"/>
      <c r="J45" s="37"/>
    </row>
    <row r="46" ht="16.5" customHeight="1">
      <c r="A46" s="113"/>
      <c r="B46" s="36">
        <v>46042.0</v>
      </c>
      <c r="C46" s="114">
        <v>0.0</v>
      </c>
      <c r="D46" s="22">
        <f t="shared" si="1"/>
        <v>0</v>
      </c>
      <c r="E46" s="22">
        <f t="shared" si="2"/>
        <v>0</v>
      </c>
      <c r="F46" s="23">
        <f t="shared" si="3"/>
        <v>0</v>
      </c>
      <c r="G46" s="23">
        <f t="shared" si="4"/>
        <v>0</v>
      </c>
      <c r="H46" s="23">
        <f t="shared" si="5"/>
        <v>0</v>
      </c>
      <c r="I46" s="37"/>
      <c r="J46" s="37"/>
    </row>
    <row r="47" ht="16.5" customHeight="1">
      <c r="A47" s="113"/>
      <c r="B47" s="36">
        <v>46043.0</v>
      </c>
      <c r="C47" s="114">
        <v>0.0</v>
      </c>
      <c r="D47" s="22">
        <f t="shared" si="1"/>
        <v>0</v>
      </c>
      <c r="E47" s="22">
        <f t="shared" si="2"/>
        <v>0</v>
      </c>
      <c r="F47" s="23">
        <f t="shared" si="3"/>
        <v>0</v>
      </c>
      <c r="G47" s="23">
        <f t="shared" si="4"/>
        <v>0</v>
      </c>
      <c r="H47" s="23">
        <f t="shared" si="5"/>
        <v>0</v>
      </c>
      <c r="I47" s="37"/>
      <c r="J47" s="37"/>
    </row>
    <row r="48" ht="16.5" customHeight="1">
      <c r="A48" s="28" t="s">
        <v>52</v>
      </c>
      <c r="B48" s="15"/>
      <c r="C48" s="29">
        <f>SUM(C10:C33)</f>
        <v>1775</v>
      </c>
      <c r="D48" s="21">
        <f>SUM(D10:D47)</f>
        <v>311.625</v>
      </c>
      <c r="E48" s="29">
        <f t="shared" ref="E48:G48" si="6">SUM(E10:E33)</f>
        <v>355</v>
      </c>
      <c r="F48" s="90">
        <f t="shared" si="6"/>
        <v>177.5</v>
      </c>
      <c r="G48" s="29">
        <f t="shared" si="6"/>
        <v>798.75</v>
      </c>
      <c r="H48" s="91">
        <f>SUM(H10:H47)</f>
        <v>1142.625</v>
      </c>
      <c r="I48" s="30" t="s">
        <v>52</v>
      </c>
      <c r="J48" s="31"/>
    </row>
    <row r="49" ht="16.5" customHeight="1">
      <c r="A49" s="92" t="s">
        <v>165</v>
      </c>
      <c r="B49" s="36">
        <v>46045.0</v>
      </c>
      <c r="C49" s="114">
        <v>0.0</v>
      </c>
      <c r="D49" s="22">
        <f t="shared" ref="D49:D78" si="7">IF(C49="","",C49*$B$4)</f>
        <v>0</v>
      </c>
      <c r="E49" s="22">
        <f t="shared" ref="E49:E78" si="8">IF(C49="","",C49*$B$5)</f>
        <v>0</v>
      </c>
      <c r="F49" s="23">
        <f t="shared" ref="F49:F78" si="9">IF(C49="","",C49*$B$6)</f>
        <v>0</v>
      </c>
      <c r="G49" s="23">
        <f t="shared" ref="G49:G78" si="10">IF(C49="","",SUM(D49:F49))</f>
        <v>0</v>
      </c>
      <c r="H49" s="23">
        <f t="shared" ref="H49:H78" si="11">IF(C49="","",C49-G49)</f>
        <v>0</v>
      </c>
      <c r="I49" s="37"/>
      <c r="J49" s="37"/>
    </row>
    <row r="50" ht="16.5" customHeight="1">
      <c r="A50" s="20"/>
      <c r="B50" s="36">
        <v>46045.0</v>
      </c>
      <c r="C50" s="114">
        <v>0.0</v>
      </c>
      <c r="D50" s="22">
        <f t="shared" si="7"/>
        <v>0</v>
      </c>
      <c r="E50" s="22">
        <f t="shared" si="8"/>
        <v>0</v>
      </c>
      <c r="F50" s="23">
        <f t="shared" si="9"/>
        <v>0</v>
      </c>
      <c r="G50" s="23">
        <f t="shared" si="10"/>
        <v>0</v>
      </c>
      <c r="H50" s="23">
        <f t="shared" si="11"/>
        <v>0</v>
      </c>
      <c r="I50" s="37"/>
      <c r="J50" s="37"/>
    </row>
    <row r="51" ht="16.5" customHeight="1">
      <c r="A51" s="20"/>
      <c r="B51" s="36">
        <v>46045.0</v>
      </c>
      <c r="C51" s="114">
        <v>0.0</v>
      </c>
      <c r="D51" s="22">
        <f t="shared" si="7"/>
        <v>0</v>
      </c>
      <c r="E51" s="22">
        <f t="shared" si="8"/>
        <v>0</v>
      </c>
      <c r="F51" s="23">
        <f t="shared" si="9"/>
        <v>0</v>
      </c>
      <c r="G51" s="23">
        <f t="shared" si="10"/>
        <v>0</v>
      </c>
      <c r="H51" s="23">
        <f t="shared" si="11"/>
        <v>0</v>
      </c>
      <c r="I51" s="37"/>
      <c r="J51" s="37"/>
    </row>
    <row r="52" ht="16.5" customHeight="1">
      <c r="A52" s="20"/>
      <c r="B52" s="36">
        <v>46195.0</v>
      </c>
      <c r="C52" s="114">
        <v>0.0</v>
      </c>
      <c r="D52" s="93">
        <f t="shared" si="7"/>
        <v>0</v>
      </c>
      <c r="E52" s="23">
        <f t="shared" si="8"/>
        <v>0</v>
      </c>
      <c r="F52" s="23">
        <f t="shared" si="9"/>
        <v>0</v>
      </c>
      <c r="G52" s="23">
        <f t="shared" si="10"/>
        <v>0</v>
      </c>
      <c r="H52" s="23">
        <f t="shared" si="11"/>
        <v>0</v>
      </c>
      <c r="I52" s="35"/>
      <c r="J52" s="37"/>
    </row>
    <row r="53" ht="16.5" customHeight="1">
      <c r="A53" s="20"/>
      <c r="B53" s="36">
        <v>46195.0</v>
      </c>
      <c r="C53" s="114">
        <v>0.0</v>
      </c>
      <c r="D53" s="93">
        <f t="shared" si="7"/>
        <v>0</v>
      </c>
      <c r="E53" s="23">
        <f t="shared" si="8"/>
        <v>0</v>
      </c>
      <c r="F53" s="23">
        <f t="shared" si="9"/>
        <v>0</v>
      </c>
      <c r="G53" s="23">
        <f t="shared" si="10"/>
        <v>0</v>
      </c>
      <c r="H53" s="23">
        <f t="shared" si="11"/>
        <v>0</v>
      </c>
      <c r="I53" s="35"/>
      <c r="J53" s="37"/>
    </row>
    <row r="54" ht="16.5" customHeight="1">
      <c r="A54" s="20"/>
      <c r="B54" s="36">
        <v>46195.0</v>
      </c>
      <c r="C54" s="114">
        <v>0.0</v>
      </c>
      <c r="D54" s="93">
        <f t="shared" si="7"/>
        <v>0</v>
      </c>
      <c r="E54" s="23">
        <f t="shared" si="8"/>
        <v>0</v>
      </c>
      <c r="F54" s="23">
        <f t="shared" si="9"/>
        <v>0</v>
      </c>
      <c r="G54" s="23">
        <f t="shared" si="10"/>
        <v>0</v>
      </c>
      <c r="H54" s="23">
        <f t="shared" si="11"/>
        <v>0</v>
      </c>
      <c r="I54" s="35"/>
      <c r="J54" s="37"/>
    </row>
    <row r="55" ht="16.5" customHeight="1">
      <c r="A55" s="20"/>
      <c r="B55" s="36">
        <v>46195.0</v>
      </c>
      <c r="C55" s="114">
        <v>0.0</v>
      </c>
      <c r="D55" s="93">
        <f t="shared" si="7"/>
        <v>0</v>
      </c>
      <c r="E55" s="23">
        <f t="shared" si="8"/>
        <v>0</v>
      </c>
      <c r="F55" s="23">
        <f t="shared" si="9"/>
        <v>0</v>
      </c>
      <c r="G55" s="23">
        <f t="shared" si="10"/>
        <v>0</v>
      </c>
      <c r="H55" s="23">
        <f t="shared" si="11"/>
        <v>0</v>
      </c>
      <c r="I55" s="35"/>
      <c r="J55" s="37"/>
    </row>
    <row r="56" ht="16.5" customHeight="1">
      <c r="A56" s="20"/>
      <c r="B56" s="36">
        <v>46195.0</v>
      </c>
      <c r="C56" s="114">
        <v>0.0</v>
      </c>
      <c r="D56" s="93">
        <f t="shared" si="7"/>
        <v>0</v>
      </c>
      <c r="E56" s="23">
        <f t="shared" si="8"/>
        <v>0</v>
      </c>
      <c r="F56" s="23">
        <f t="shared" si="9"/>
        <v>0</v>
      </c>
      <c r="G56" s="23">
        <f t="shared" si="10"/>
        <v>0</v>
      </c>
      <c r="H56" s="23">
        <f t="shared" si="11"/>
        <v>0</v>
      </c>
      <c r="I56" s="35"/>
      <c r="J56" s="37"/>
    </row>
    <row r="57" ht="16.5" customHeight="1">
      <c r="A57" s="20"/>
      <c r="B57" s="36">
        <v>46195.0</v>
      </c>
      <c r="C57" s="114">
        <v>0.0</v>
      </c>
      <c r="D57" s="93">
        <f t="shared" si="7"/>
        <v>0</v>
      </c>
      <c r="E57" s="23">
        <f t="shared" si="8"/>
        <v>0</v>
      </c>
      <c r="F57" s="23">
        <f t="shared" si="9"/>
        <v>0</v>
      </c>
      <c r="G57" s="23">
        <f t="shared" si="10"/>
        <v>0</v>
      </c>
      <c r="H57" s="23">
        <f t="shared" si="11"/>
        <v>0</v>
      </c>
      <c r="I57" s="35"/>
      <c r="J57" s="37"/>
    </row>
    <row r="58" ht="16.5" customHeight="1">
      <c r="A58" s="20"/>
      <c r="B58" s="36">
        <v>46195.0</v>
      </c>
      <c r="C58" s="114">
        <v>0.0</v>
      </c>
      <c r="D58" s="93">
        <f t="shared" si="7"/>
        <v>0</v>
      </c>
      <c r="E58" s="23">
        <f t="shared" si="8"/>
        <v>0</v>
      </c>
      <c r="F58" s="23">
        <f t="shared" si="9"/>
        <v>0</v>
      </c>
      <c r="G58" s="23">
        <f t="shared" si="10"/>
        <v>0</v>
      </c>
      <c r="H58" s="23">
        <f t="shared" si="11"/>
        <v>0</v>
      </c>
      <c r="I58" s="35"/>
      <c r="J58" s="37"/>
    </row>
    <row r="59" ht="16.5" customHeight="1">
      <c r="A59" s="20"/>
      <c r="B59" s="36">
        <v>46195.0</v>
      </c>
      <c r="C59" s="114">
        <v>0.0</v>
      </c>
      <c r="D59" s="93">
        <f t="shared" si="7"/>
        <v>0</v>
      </c>
      <c r="E59" s="23">
        <f t="shared" si="8"/>
        <v>0</v>
      </c>
      <c r="F59" s="23">
        <f t="shared" si="9"/>
        <v>0</v>
      </c>
      <c r="G59" s="23">
        <f t="shared" si="10"/>
        <v>0</v>
      </c>
      <c r="H59" s="23">
        <f t="shared" si="11"/>
        <v>0</v>
      </c>
      <c r="I59" s="38"/>
      <c r="J59" s="37"/>
    </row>
    <row r="60" ht="16.5" customHeight="1">
      <c r="A60" s="20"/>
      <c r="B60" s="36">
        <v>46195.0</v>
      </c>
      <c r="C60" s="114">
        <v>0.0</v>
      </c>
      <c r="D60" s="93">
        <f t="shared" si="7"/>
        <v>0</v>
      </c>
      <c r="E60" s="23">
        <f t="shared" si="8"/>
        <v>0</v>
      </c>
      <c r="F60" s="23">
        <f t="shared" si="9"/>
        <v>0</v>
      </c>
      <c r="G60" s="23">
        <f t="shared" si="10"/>
        <v>0</v>
      </c>
      <c r="H60" s="40">
        <f t="shared" si="11"/>
        <v>0</v>
      </c>
      <c r="I60" s="41"/>
      <c r="J60" s="37"/>
    </row>
    <row r="61" ht="13.5" customHeight="1">
      <c r="A61" s="20"/>
      <c r="B61" s="36">
        <v>46196.0</v>
      </c>
      <c r="C61" s="114">
        <v>0.0</v>
      </c>
      <c r="D61" s="93">
        <f t="shared" si="7"/>
        <v>0</v>
      </c>
      <c r="E61" s="23">
        <f t="shared" si="8"/>
        <v>0</v>
      </c>
      <c r="F61" s="23">
        <f t="shared" si="9"/>
        <v>0</v>
      </c>
      <c r="G61" s="23">
        <f t="shared" si="10"/>
        <v>0</v>
      </c>
      <c r="H61" s="40">
        <f t="shared" si="11"/>
        <v>0</v>
      </c>
      <c r="I61" s="43"/>
      <c r="J61" s="37"/>
    </row>
    <row r="62" ht="13.5" customHeight="1">
      <c r="A62" s="20"/>
      <c r="B62" s="36">
        <v>46197.0</v>
      </c>
      <c r="C62" s="114">
        <v>0.0</v>
      </c>
      <c r="D62" s="93">
        <f t="shared" si="7"/>
        <v>0</v>
      </c>
      <c r="E62" s="23">
        <f t="shared" si="8"/>
        <v>0</v>
      </c>
      <c r="F62" s="23">
        <f t="shared" si="9"/>
        <v>0</v>
      </c>
      <c r="G62" s="23">
        <f t="shared" si="10"/>
        <v>0</v>
      </c>
      <c r="H62" s="40">
        <f t="shared" si="11"/>
        <v>0</v>
      </c>
      <c r="I62" s="43"/>
      <c r="J62" s="94"/>
    </row>
    <row r="63" ht="13.5" customHeight="1">
      <c r="A63" s="20"/>
      <c r="B63" s="36">
        <v>46198.0</v>
      </c>
      <c r="C63" s="114">
        <v>0.0</v>
      </c>
      <c r="D63" s="93">
        <f t="shared" si="7"/>
        <v>0</v>
      </c>
      <c r="E63" s="23">
        <f t="shared" si="8"/>
        <v>0</v>
      </c>
      <c r="F63" s="23">
        <f t="shared" si="9"/>
        <v>0</v>
      </c>
      <c r="G63" s="23">
        <f t="shared" si="10"/>
        <v>0</v>
      </c>
      <c r="H63" s="40">
        <f t="shared" si="11"/>
        <v>0</v>
      </c>
      <c r="I63" s="43"/>
      <c r="J63" s="94"/>
    </row>
    <row r="64" ht="13.5" customHeight="1">
      <c r="A64" s="20"/>
      <c r="B64" s="36">
        <v>46199.0</v>
      </c>
      <c r="C64" s="114">
        <v>0.0</v>
      </c>
      <c r="D64" s="93">
        <f t="shared" si="7"/>
        <v>0</v>
      </c>
      <c r="E64" s="23">
        <f t="shared" si="8"/>
        <v>0</v>
      </c>
      <c r="F64" s="23">
        <f t="shared" si="9"/>
        <v>0</v>
      </c>
      <c r="G64" s="23">
        <f t="shared" si="10"/>
        <v>0</v>
      </c>
      <c r="H64" s="40">
        <f t="shared" si="11"/>
        <v>0</v>
      </c>
      <c r="I64" s="45"/>
      <c r="J64" s="94"/>
    </row>
    <row r="65" ht="13.5" customHeight="1">
      <c r="A65" s="20"/>
      <c r="B65" s="36">
        <v>46200.0</v>
      </c>
      <c r="C65" s="114">
        <v>0.0</v>
      </c>
      <c r="D65" s="93">
        <f t="shared" si="7"/>
        <v>0</v>
      </c>
      <c r="E65" s="23">
        <f t="shared" si="8"/>
        <v>0</v>
      </c>
      <c r="F65" s="23">
        <f t="shared" si="9"/>
        <v>0</v>
      </c>
      <c r="G65" s="23">
        <f t="shared" si="10"/>
        <v>0</v>
      </c>
      <c r="H65" s="40">
        <f t="shared" si="11"/>
        <v>0</v>
      </c>
      <c r="I65" s="46"/>
      <c r="J65" s="94"/>
    </row>
    <row r="66" ht="13.5" customHeight="1">
      <c r="A66" s="20"/>
      <c r="B66" s="36">
        <v>46201.0</v>
      </c>
      <c r="C66" s="114">
        <v>0.0</v>
      </c>
      <c r="D66" s="93">
        <f t="shared" si="7"/>
        <v>0</v>
      </c>
      <c r="E66" s="23">
        <f t="shared" si="8"/>
        <v>0</v>
      </c>
      <c r="F66" s="23">
        <f t="shared" si="9"/>
        <v>0</v>
      </c>
      <c r="G66" s="23">
        <f t="shared" si="10"/>
        <v>0</v>
      </c>
      <c r="H66" s="40">
        <f t="shared" si="11"/>
        <v>0</v>
      </c>
      <c r="I66" s="46"/>
      <c r="J66" s="95"/>
    </row>
    <row r="67" ht="13.5" customHeight="1">
      <c r="A67" s="20"/>
      <c r="B67" s="36">
        <v>46202.0</v>
      </c>
      <c r="C67" s="114">
        <v>0.0</v>
      </c>
      <c r="D67" s="93">
        <f t="shared" si="7"/>
        <v>0</v>
      </c>
      <c r="E67" s="23">
        <f t="shared" si="8"/>
        <v>0</v>
      </c>
      <c r="F67" s="23">
        <f t="shared" si="9"/>
        <v>0</v>
      </c>
      <c r="G67" s="23">
        <f t="shared" si="10"/>
        <v>0</v>
      </c>
      <c r="H67" s="40">
        <f t="shared" si="11"/>
        <v>0</v>
      </c>
      <c r="I67" s="48"/>
      <c r="J67" s="95"/>
    </row>
    <row r="68" ht="13.5" customHeight="1">
      <c r="A68" s="20"/>
      <c r="B68" s="36">
        <v>46203.0</v>
      </c>
      <c r="C68" s="114">
        <v>0.0</v>
      </c>
      <c r="D68" s="93">
        <f t="shared" si="7"/>
        <v>0</v>
      </c>
      <c r="E68" s="23">
        <f t="shared" si="8"/>
        <v>0</v>
      </c>
      <c r="F68" s="23">
        <f t="shared" si="9"/>
        <v>0</v>
      </c>
      <c r="G68" s="23">
        <f t="shared" si="10"/>
        <v>0</v>
      </c>
      <c r="H68" s="40">
        <f t="shared" si="11"/>
        <v>0</v>
      </c>
      <c r="I68" s="46"/>
      <c r="J68" s="95"/>
    </row>
    <row r="69" ht="13.5" customHeight="1">
      <c r="A69" s="20"/>
      <c r="B69" s="36">
        <v>46161.0</v>
      </c>
      <c r="C69" s="114">
        <v>0.0</v>
      </c>
      <c r="D69" s="93">
        <f t="shared" si="7"/>
        <v>0</v>
      </c>
      <c r="E69" s="23">
        <f t="shared" si="8"/>
        <v>0</v>
      </c>
      <c r="F69" s="23">
        <f t="shared" si="9"/>
        <v>0</v>
      </c>
      <c r="G69" s="23">
        <f t="shared" si="10"/>
        <v>0</v>
      </c>
      <c r="H69" s="40">
        <f t="shared" si="11"/>
        <v>0</v>
      </c>
      <c r="I69" s="46"/>
      <c r="J69" s="95"/>
    </row>
    <row r="70" ht="13.5" customHeight="1">
      <c r="A70" s="20"/>
      <c r="B70" s="36">
        <v>46161.0</v>
      </c>
      <c r="C70" s="114">
        <v>0.0</v>
      </c>
      <c r="D70" s="93">
        <f t="shared" si="7"/>
        <v>0</v>
      </c>
      <c r="E70" s="23">
        <f t="shared" si="8"/>
        <v>0</v>
      </c>
      <c r="F70" s="23">
        <f t="shared" si="9"/>
        <v>0</v>
      </c>
      <c r="G70" s="23">
        <f t="shared" si="10"/>
        <v>0</v>
      </c>
      <c r="H70" s="40">
        <f t="shared" si="11"/>
        <v>0</v>
      </c>
      <c r="I70" s="46"/>
      <c r="J70" s="95"/>
    </row>
    <row r="71" ht="13.5" customHeight="1">
      <c r="A71" s="20"/>
      <c r="B71" s="36">
        <v>46163.0</v>
      </c>
      <c r="C71" s="114">
        <v>0.0</v>
      </c>
      <c r="D71" s="93">
        <f t="shared" si="7"/>
        <v>0</v>
      </c>
      <c r="E71" s="23">
        <f t="shared" si="8"/>
        <v>0</v>
      </c>
      <c r="F71" s="23">
        <f t="shared" si="9"/>
        <v>0</v>
      </c>
      <c r="G71" s="23">
        <f t="shared" si="10"/>
        <v>0</v>
      </c>
      <c r="H71" s="40">
        <f t="shared" si="11"/>
        <v>0</v>
      </c>
      <c r="I71" s="46"/>
      <c r="J71" s="95"/>
    </row>
    <row r="72" ht="13.5" customHeight="1">
      <c r="A72" s="20"/>
      <c r="B72" s="36">
        <v>46163.0</v>
      </c>
      <c r="C72" s="114">
        <v>0.0</v>
      </c>
      <c r="D72" s="93">
        <f t="shared" si="7"/>
        <v>0</v>
      </c>
      <c r="E72" s="23">
        <f t="shared" si="8"/>
        <v>0</v>
      </c>
      <c r="F72" s="23">
        <f t="shared" si="9"/>
        <v>0</v>
      </c>
      <c r="G72" s="23">
        <f t="shared" si="10"/>
        <v>0</v>
      </c>
      <c r="H72" s="40">
        <f t="shared" si="11"/>
        <v>0</v>
      </c>
      <c r="I72" s="46"/>
      <c r="J72" s="46"/>
    </row>
    <row r="73" ht="13.5" customHeight="1">
      <c r="A73" s="20"/>
      <c r="B73" s="36">
        <v>46164.0</v>
      </c>
      <c r="C73" s="114">
        <v>0.0</v>
      </c>
      <c r="D73" s="93">
        <f t="shared" si="7"/>
        <v>0</v>
      </c>
      <c r="E73" s="23">
        <f t="shared" si="8"/>
        <v>0</v>
      </c>
      <c r="F73" s="23">
        <f t="shared" si="9"/>
        <v>0</v>
      </c>
      <c r="G73" s="23">
        <f t="shared" si="10"/>
        <v>0</v>
      </c>
      <c r="H73" s="40">
        <f t="shared" si="11"/>
        <v>0</v>
      </c>
      <c r="I73" s="46"/>
      <c r="J73" s="95"/>
    </row>
    <row r="74" ht="13.5" customHeight="1">
      <c r="A74" s="20"/>
      <c r="B74" s="36">
        <v>46165.0</v>
      </c>
      <c r="C74" s="114">
        <v>0.0</v>
      </c>
      <c r="D74" s="93">
        <f t="shared" si="7"/>
        <v>0</v>
      </c>
      <c r="E74" s="23">
        <f t="shared" si="8"/>
        <v>0</v>
      </c>
      <c r="F74" s="23">
        <f t="shared" si="9"/>
        <v>0</v>
      </c>
      <c r="G74" s="23">
        <f t="shared" si="10"/>
        <v>0</v>
      </c>
      <c r="H74" s="40">
        <f t="shared" si="11"/>
        <v>0</v>
      </c>
      <c r="I74" s="46"/>
      <c r="J74" s="95"/>
    </row>
    <row r="75" ht="13.5" customHeight="1">
      <c r="A75" s="20"/>
      <c r="B75" s="36">
        <v>46165.0</v>
      </c>
      <c r="C75" s="114">
        <v>0.0</v>
      </c>
      <c r="D75" s="93">
        <f t="shared" si="7"/>
        <v>0</v>
      </c>
      <c r="E75" s="23">
        <f t="shared" si="8"/>
        <v>0</v>
      </c>
      <c r="F75" s="23">
        <f t="shared" si="9"/>
        <v>0</v>
      </c>
      <c r="G75" s="23">
        <f t="shared" si="10"/>
        <v>0</v>
      </c>
      <c r="H75" s="40">
        <f t="shared" si="11"/>
        <v>0</v>
      </c>
      <c r="I75" s="46"/>
      <c r="J75" s="46"/>
    </row>
    <row r="76" ht="13.5" customHeight="1">
      <c r="A76" s="20"/>
      <c r="B76" s="36">
        <v>46165.0</v>
      </c>
      <c r="C76" s="114">
        <v>0.0</v>
      </c>
      <c r="D76" s="93">
        <f t="shared" si="7"/>
        <v>0</v>
      </c>
      <c r="E76" s="23">
        <f t="shared" si="8"/>
        <v>0</v>
      </c>
      <c r="F76" s="23">
        <f t="shared" si="9"/>
        <v>0</v>
      </c>
      <c r="G76" s="23">
        <f t="shared" si="10"/>
        <v>0</v>
      </c>
      <c r="H76" s="40">
        <f t="shared" si="11"/>
        <v>0</v>
      </c>
      <c r="I76" s="46"/>
      <c r="J76" s="46"/>
    </row>
    <row r="77" ht="13.5" customHeight="1">
      <c r="A77" s="20"/>
      <c r="B77" s="36">
        <v>46165.0</v>
      </c>
      <c r="C77" s="114">
        <v>0.0</v>
      </c>
      <c r="D77" s="93">
        <f t="shared" si="7"/>
        <v>0</v>
      </c>
      <c r="E77" s="23">
        <f t="shared" si="8"/>
        <v>0</v>
      </c>
      <c r="F77" s="23">
        <f t="shared" si="9"/>
        <v>0</v>
      </c>
      <c r="G77" s="23">
        <f t="shared" si="10"/>
        <v>0</v>
      </c>
      <c r="H77" s="40">
        <f t="shared" si="11"/>
        <v>0</v>
      </c>
      <c r="I77" s="46"/>
      <c r="J77" s="46"/>
    </row>
    <row r="78" ht="13.5" customHeight="1">
      <c r="A78" s="27"/>
      <c r="B78" s="36">
        <v>46166.0</v>
      </c>
      <c r="C78" s="114">
        <v>0.0</v>
      </c>
      <c r="D78" s="93">
        <f t="shared" si="7"/>
        <v>0</v>
      </c>
      <c r="E78" s="23">
        <f t="shared" si="8"/>
        <v>0</v>
      </c>
      <c r="F78" s="23">
        <f t="shared" si="9"/>
        <v>0</v>
      </c>
      <c r="G78" s="23">
        <f t="shared" si="10"/>
        <v>0</v>
      </c>
      <c r="H78" s="40">
        <f t="shared" si="11"/>
        <v>0</v>
      </c>
      <c r="J78" s="95"/>
    </row>
    <row r="79" ht="13.5" customHeight="1">
      <c r="A79" s="28" t="s">
        <v>52</v>
      </c>
      <c r="B79" s="15"/>
      <c r="C79" s="98">
        <f t="shared" ref="C79:H79" si="12">SUM(C49:C78)</f>
        <v>0</v>
      </c>
      <c r="D79" s="98">
        <f t="shared" si="12"/>
        <v>0</v>
      </c>
      <c r="E79" s="34">
        <f t="shared" si="12"/>
        <v>0</v>
      </c>
      <c r="F79" s="34">
        <f t="shared" si="12"/>
        <v>0</v>
      </c>
      <c r="G79" s="34">
        <f t="shared" si="12"/>
        <v>0</v>
      </c>
      <c r="H79" s="34">
        <f t="shared" si="12"/>
        <v>0</v>
      </c>
      <c r="I79" s="54" t="s">
        <v>52</v>
      </c>
      <c r="J79" s="44"/>
    </row>
    <row r="80" ht="13.5" customHeight="1">
      <c r="A80" s="55"/>
      <c r="B80" s="36"/>
      <c r="C80" s="56"/>
      <c r="D80" s="23" t="str">
        <f t="shared" ref="D80:D81" si="13">IF(C80="","",C80*$B$4)</f>
        <v/>
      </c>
      <c r="E80" s="23" t="str">
        <f t="shared" ref="E80:E81" si="14">IF(C80="","",C80*$B$5)</f>
        <v/>
      </c>
      <c r="F80" s="23" t="str">
        <f t="shared" ref="F80:F81" si="15">IF(C80="","",C80*$B$6)</f>
        <v/>
      </c>
      <c r="G80" s="23" t="str">
        <f t="shared" ref="G80:G81" si="16">IF(C80="","",SUM(D80:F80))</f>
        <v/>
      </c>
      <c r="H80" s="40" t="str">
        <f t="shared" ref="H80:H81" si="17">IF(C80="","",C80-G80)</f>
        <v/>
      </c>
      <c r="I80" s="57"/>
      <c r="J80" s="44"/>
    </row>
    <row r="81" ht="13.5" customHeight="1">
      <c r="A81" s="58"/>
      <c r="B81" s="36"/>
      <c r="C81" s="56">
        <v>0.0</v>
      </c>
      <c r="D81" s="23">
        <f t="shared" si="13"/>
        <v>0</v>
      </c>
      <c r="E81" s="23">
        <f t="shared" si="14"/>
        <v>0</v>
      </c>
      <c r="F81" s="23">
        <f t="shared" si="15"/>
        <v>0</v>
      </c>
      <c r="G81" s="23">
        <f t="shared" si="16"/>
        <v>0</v>
      </c>
      <c r="H81" s="40">
        <f t="shared" si="17"/>
        <v>0</v>
      </c>
      <c r="I81" s="57"/>
      <c r="J81" s="44"/>
    </row>
    <row r="82" ht="13.5" customHeight="1">
      <c r="A82" s="99"/>
      <c r="B82" s="100"/>
      <c r="C82" s="101"/>
      <c r="D82" s="101"/>
      <c r="E82" s="101"/>
      <c r="F82" s="101"/>
      <c r="G82" s="101"/>
      <c r="H82" s="102"/>
      <c r="I82" s="103"/>
      <c r="J82" s="103"/>
    </row>
    <row r="83" ht="13.5" customHeight="1">
      <c r="A83" s="104"/>
      <c r="B83" s="105"/>
      <c r="C83" s="106"/>
      <c r="D83" s="107"/>
      <c r="E83" s="107"/>
      <c r="F83" s="107"/>
      <c r="G83" s="108"/>
      <c r="H83" s="108"/>
      <c r="I83" s="109"/>
      <c r="J83" s="110"/>
    </row>
    <row r="84" ht="13.5" customHeight="1">
      <c r="A84" s="4"/>
      <c r="B84" s="69"/>
      <c r="C84" s="4"/>
      <c r="D84" s="4"/>
      <c r="E84" s="70"/>
      <c r="F84" s="71"/>
      <c r="G84" s="4"/>
      <c r="H84" s="4"/>
      <c r="I84" s="4"/>
    </row>
    <row r="85" ht="13.5" customHeight="1">
      <c r="A85" s="4"/>
      <c r="B85" s="69"/>
      <c r="C85" s="4"/>
      <c r="D85" s="4"/>
      <c r="E85" s="70"/>
      <c r="F85" s="71"/>
      <c r="G85" s="4"/>
      <c r="H85" s="4"/>
      <c r="I85" s="4"/>
    </row>
    <row r="86" ht="13.5" customHeight="1">
      <c r="A86" s="4"/>
      <c r="B86" s="69"/>
      <c r="C86" s="4"/>
      <c r="D86" s="4"/>
      <c r="E86" s="70"/>
      <c r="F86" s="71"/>
      <c r="G86" s="4"/>
      <c r="H86" s="4"/>
      <c r="I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</row>
    <row r="88" ht="17.25" customHeight="1">
      <c r="A88" s="72" t="s">
        <v>95</v>
      </c>
      <c r="B88" s="72"/>
      <c r="C88" s="4"/>
      <c r="D88" s="4"/>
      <c r="E88" s="4"/>
      <c r="F88" s="4"/>
      <c r="G88" s="4"/>
      <c r="H88" s="4"/>
      <c r="I88" s="4"/>
    </row>
    <row r="89" ht="17.25" customHeight="1">
      <c r="A89" s="73" t="s">
        <v>96</v>
      </c>
      <c r="B89" s="74">
        <f>SUM(C10:C33,C49:C59,E83)</f>
        <v>1775</v>
      </c>
      <c r="C89" s="4"/>
      <c r="D89" s="4"/>
      <c r="E89" s="115" t="s">
        <v>166</v>
      </c>
      <c r="F89" s="4"/>
      <c r="G89" s="4"/>
      <c r="H89" s="4"/>
      <c r="I89" s="4"/>
    </row>
    <row r="90" ht="17.25" customHeight="1">
      <c r="A90" s="73" t="s">
        <v>97</v>
      </c>
      <c r="B90" s="74">
        <f>SUM(D10:D33,D49:D59,H83)</f>
        <v>266.25</v>
      </c>
      <c r="C90" s="4"/>
      <c r="D90" s="4"/>
      <c r="E90" s="115" t="s">
        <v>167</v>
      </c>
      <c r="F90" s="4"/>
      <c r="G90" s="4"/>
      <c r="H90" s="4"/>
      <c r="I90" s="4"/>
    </row>
    <row r="91" ht="17.25" customHeight="1">
      <c r="A91" s="73" t="s">
        <v>98</v>
      </c>
      <c r="B91" s="74">
        <f>SUM(E10:E33,E49:E59)</f>
        <v>355</v>
      </c>
      <c r="C91" s="4"/>
      <c r="D91" s="4"/>
      <c r="E91" s="4"/>
      <c r="F91" s="4"/>
      <c r="G91" s="4"/>
      <c r="H91" s="4"/>
      <c r="I91" s="4"/>
    </row>
    <row r="92" ht="17.25" customHeight="1">
      <c r="A92" s="73" t="s">
        <v>99</v>
      </c>
      <c r="B92" s="75">
        <f>SUM(F10:F33,F49:F59,I83)</f>
        <v>177.5</v>
      </c>
      <c r="C92" s="4"/>
      <c r="D92" s="4"/>
      <c r="E92" s="4"/>
      <c r="F92" s="4"/>
      <c r="G92" s="4"/>
      <c r="H92" s="4"/>
      <c r="I92" s="4"/>
    </row>
    <row r="93" ht="17.25" customHeight="1">
      <c r="A93" s="73" t="s">
        <v>100</v>
      </c>
      <c r="B93" s="76">
        <f>SUM(H10:H33,H49:H59,J83)</f>
        <v>976.25</v>
      </c>
      <c r="C93" s="4"/>
      <c r="D93" s="4"/>
      <c r="E93" s="4"/>
      <c r="F93" s="4"/>
      <c r="G93" s="4"/>
      <c r="H93" s="4"/>
      <c r="I93" s="4"/>
    </row>
    <row r="94" ht="17.25" customHeight="1">
      <c r="A94" s="73" t="s">
        <v>101</v>
      </c>
      <c r="B94" s="77">
        <f>IFERROR(SUM(G10:G57)/SUM(C10:C57),0)</f>
        <v>0.45</v>
      </c>
      <c r="C94" s="4"/>
      <c r="D94" s="4"/>
      <c r="E94" s="4"/>
      <c r="F94" s="4"/>
      <c r="G94" s="4"/>
      <c r="H94" s="4"/>
      <c r="I94" s="4"/>
    </row>
    <row r="95" ht="13.5" customHeight="1"/>
    <row r="96" ht="13.5" customHeight="1"/>
    <row r="97" ht="13.5" customHeight="1"/>
    <row r="98" ht="13.5" customHeight="1">
      <c r="A98" s="78" t="s">
        <v>102</v>
      </c>
    </row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</sheetData>
  <mergeCells count="7">
    <mergeCell ref="A1:D1"/>
    <mergeCell ref="B7:C7"/>
    <mergeCell ref="I9:J9"/>
    <mergeCell ref="A10:A47"/>
    <mergeCell ref="A48:B48"/>
    <mergeCell ref="A49:A78"/>
    <mergeCell ref="A79:B7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2026-05-02T16:09:05Z</dcterms:created>
  <dc:creator>Daniela Santos</dc:creator>
</cp:coreProperties>
</file>